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"/>
    </mc:Choice>
  </mc:AlternateContent>
  <xr:revisionPtr revIDLastSave="0" documentId="8_{B017B537-A73D-4B9F-8BAA-1E2DCACC7857}" xr6:coauthVersionLast="47" xr6:coauthVersionMax="47" xr10:uidLastSave="{00000000-0000-0000-0000-000000000000}"/>
  <bookViews>
    <workbookView xWindow="-108" yWindow="-108" windowWidth="23256" windowHeight="12456" xr2:uid="{381A9812-DE7D-4C98-BEFA-BF6817BD4088}"/>
  </bookViews>
  <sheets>
    <sheet name="TCS" sheetId="9" r:id="rId1"/>
    <sheet name="P&amp;L" sheetId="1" r:id="rId2"/>
    <sheet name="P&amp;L Detail" sheetId="6" r:id="rId3"/>
    <sheet name="Balance sheet" sheetId="2" r:id="rId4"/>
    <sheet name="Balance Sheet Detail" sheetId="5" r:id="rId5"/>
    <sheet name="Cash Flow " sheetId="4" r:id="rId6"/>
    <sheet name="Cash Flow Detail" sheetId="3" r:id="rId7"/>
    <sheet name="Working Capital " sheetId="10" r:id="rId8"/>
    <sheet name="Capital Structure" sheetId="11" r:id="rId9"/>
    <sheet name="WACC" sheetId="12" r:id="rId10"/>
    <sheet name="DCF " sheetId="13" r:id="rId11"/>
    <sheet name="Comparable Company valuation" sheetId="14" r:id="rId12"/>
    <sheet name="Sensitivity Analysis" sheetId="15" r:id="rId13"/>
    <sheet name="Compare with market price" sheetId="16" r:id="rId14"/>
    <sheet name="sources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6" l="1"/>
  <c r="C13" i="14"/>
  <c r="C16" i="14"/>
  <c r="C15" i="14"/>
  <c r="C12" i="14"/>
  <c r="D8" i="14"/>
  <c r="C8" i="14"/>
  <c r="F26" i="13"/>
  <c r="F25" i="13"/>
  <c r="D15" i="13"/>
  <c r="E15" i="13"/>
  <c r="F15" i="13"/>
  <c r="G15" i="13"/>
  <c r="C15" i="13"/>
  <c r="P9" i="10"/>
  <c r="Q9" i="10"/>
  <c r="R9" i="10"/>
  <c r="S9" i="10"/>
  <c r="O9" i="10"/>
  <c r="P7" i="10"/>
  <c r="Q7" i="10"/>
  <c r="R7" i="10"/>
  <c r="S7" i="10"/>
  <c r="O7" i="10"/>
  <c r="P25" i="10"/>
  <c r="Q25" i="10"/>
  <c r="R25" i="10"/>
  <c r="S25" i="10"/>
  <c r="O25" i="10"/>
  <c r="P24" i="10"/>
  <c r="Q24" i="10"/>
  <c r="R24" i="10"/>
  <c r="S24" i="10"/>
  <c r="O24" i="10"/>
  <c r="P23" i="10"/>
  <c r="Q23" i="10"/>
  <c r="R23" i="10"/>
  <c r="S23" i="10"/>
  <c r="O23" i="10"/>
  <c r="P21" i="10"/>
  <c r="Q21" i="10"/>
  <c r="R21" i="10"/>
  <c r="S21" i="10"/>
  <c r="O21" i="10"/>
  <c r="Q14" i="10" s="1"/>
  <c r="O14" i="10"/>
  <c r="P13" i="10"/>
  <c r="Q13" i="10"/>
  <c r="R13" i="10"/>
  <c r="S13" i="10"/>
  <c r="O13" i="10"/>
  <c r="T13" i="10"/>
  <c r="R14" i="10" l="1"/>
  <c r="P14" i="10"/>
  <c r="S14" i="10" l="1"/>
  <c r="D18" i="10" l="1"/>
  <c r="E18" i="10"/>
  <c r="F18" i="10"/>
  <c r="G18" i="10"/>
  <c r="H18" i="10"/>
  <c r="I18" i="10"/>
  <c r="J18" i="10"/>
  <c r="K18" i="10"/>
  <c r="L18" i="10"/>
  <c r="M18" i="10"/>
  <c r="N18" i="10"/>
  <c r="C18" i="10"/>
  <c r="D12" i="13"/>
  <c r="E12" i="13"/>
  <c r="F12" i="13"/>
  <c r="G12" i="13"/>
  <c r="C12" i="13"/>
  <c r="V12" i="4"/>
  <c r="W12" i="4"/>
  <c r="X12" i="4" s="1"/>
  <c r="U12" i="4"/>
  <c r="T12" i="4"/>
  <c r="R12" i="4"/>
  <c r="Q12" i="4"/>
  <c r="P12" i="4"/>
  <c r="D11" i="13"/>
  <c r="E11" i="13"/>
  <c r="F11" i="13"/>
  <c r="G11" i="13"/>
  <c r="C11" i="13"/>
  <c r="D9" i="13"/>
  <c r="D10" i="13" s="1"/>
  <c r="E9" i="13"/>
  <c r="E10" i="13" s="1"/>
  <c r="F9" i="13"/>
  <c r="F10" i="13" s="1"/>
  <c r="G9" i="13"/>
  <c r="G10" i="13" s="1"/>
  <c r="C9" i="13"/>
  <c r="C10" i="13" s="1"/>
  <c r="D8" i="13"/>
  <c r="E8" i="13"/>
  <c r="F8" i="13"/>
  <c r="G8" i="13"/>
  <c r="C8" i="13"/>
  <c r="P13" i="12"/>
  <c r="Q13" i="12"/>
  <c r="R13" i="12"/>
  <c r="S13" i="12"/>
  <c r="O13" i="12"/>
  <c r="P7" i="12"/>
  <c r="Q7" i="12"/>
  <c r="R7" i="12"/>
  <c r="S7" i="12"/>
  <c r="O7" i="12"/>
  <c r="D7" i="12"/>
  <c r="E7" i="12"/>
  <c r="F7" i="12"/>
  <c r="G7" i="12"/>
  <c r="H7" i="12"/>
  <c r="I7" i="12"/>
  <c r="J7" i="12"/>
  <c r="K7" i="12"/>
  <c r="L7" i="12"/>
  <c r="M7" i="12"/>
  <c r="N7" i="12"/>
  <c r="C7" i="12"/>
  <c r="P8" i="12"/>
  <c r="Q8" i="12"/>
  <c r="R8" i="12"/>
  <c r="S8" i="12"/>
  <c r="O8" i="12"/>
  <c r="P5" i="12"/>
  <c r="Q5" i="12"/>
  <c r="R5" i="12"/>
  <c r="S5" i="12"/>
  <c r="O5" i="12"/>
  <c r="O4" i="12"/>
  <c r="P4" i="12"/>
  <c r="Q4" i="12"/>
  <c r="R4" i="12"/>
  <c r="S4" i="12"/>
  <c r="O16" i="11"/>
  <c r="P16" i="11"/>
  <c r="Q16" i="11"/>
  <c r="R16" i="11"/>
  <c r="S16" i="11"/>
  <c r="O14" i="11"/>
  <c r="P14" i="11"/>
  <c r="Q14" i="11"/>
  <c r="R14" i="11"/>
  <c r="S14" i="11"/>
  <c r="P7" i="11"/>
  <c r="Q7" i="11"/>
  <c r="R7" i="11"/>
  <c r="S7" i="11"/>
  <c r="O7" i="11"/>
  <c r="P6" i="11"/>
  <c r="Q6" i="11" s="1"/>
  <c r="R6" i="11" s="1"/>
  <c r="S6" i="11" s="1"/>
  <c r="O6" i="11"/>
  <c r="P15" i="10"/>
  <c r="Q15" i="10"/>
  <c r="R15" i="10"/>
  <c r="S15" i="10"/>
  <c r="O15" i="10"/>
  <c r="S18" i="10"/>
  <c r="P8" i="10"/>
  <c r="Q8" i="10"/>
  <c r="R8" i="10"/>
  <c r="S8" i="10"/>
  <c r="O8" i="10"/>
  <c r="O18" i="10"/>
  <c r="C13" i="13" s="1"/>
  <c r="D23" i="10"/>
  <c r="E23" i="10"/>
  <c r="F23" i="10"/>
  <c r="G23" i="10"/>
  <c r="H23" i="10"/>
  <c r="I23" i="10"/>
  <c r="J23" i="10"/>
  <c r="K23" i="10"/>
  <c r="L23" i="10"/>
  <c r="M23" i="10"/>
  <c r="N23" i="10"/>
  <c r="C23" i="10"/>
  <c r="R7" i="4"/>
  <c r="T7" i="4" s="1"/>
  <c r="U7" i="4" s="1"/>
  <c r="V7" i="4" s="1"/>
  <c r="W7" i="4" s="1"/>
  <c r="X7" i="4" s="1"/>
  <c r="R8" i="4"/>
  <c r="T8" i="4" s="1"/>
  <c r="U8" i="4" s="1"/>
  <c r="V8" i="4" s="1"/>
  <c r="W8" i="4" s="1"/>
  <c r="X8" i="4" s="1"/>
  <c r="Q5" i="4"/>
  <c r="Q6" i="4"/>
  <c r="Q7" i="4"/>
  <c r="Q8" i="4"/>
  <c r="Q4" i="4"/>
  <c r="P5" i="4"/>
  <c r="R5" i="4" s="1"/>
  <c r="T5" i="4" s="1"/>
  <c r="U5" i="4" s="1"/>
  <c r="V5" i="4" s="1"/>
  <c r="W5" i="4" s="1"/>
  <c r="X5" i="4" s="1"/>
  <c r="P6" i="4"/>
  <c r="R6" i="4" s="1"/>
  <c r="T6" i="4" s="1"/>
  <c r="U6" i="4" s="1"/>
  <c r="V6" i="4" s="1"/>
  <c r="W6" i="4" s="1"/>
  <c r="X6" i="4" s="1"/>
  <c r="P7" i="4"/>
  <c r="P8" i="4"/>
  <c r="P4" i="4"/>
  <c r="R4" i="4" s="1"/>
  <c r="T4" i="4" s="1"/>
  <c r="U4" i="4" s="1"/>
  <c r="V4" i="4" s="1"/>
  <c r="W4" i="4" s="1"/>
  <c r="X4" i="4" s="1"/>
  <c r="V13" i="2"/>
  <c r="W13" i="2" s="1"/>
  <c r="X13" i="2" s="1"/>
  <c r="V12" i="2"/>
  <c r="W12" i="2" s="1"/>
  <c r="X12" i="2" s="1"/>
  <c r="V11" i="2"/>
  <c r="W11" i="2"/>
  <c r="X11" i="2" s="1"/>
  <c r="V10" i="2"/>
  <c r="W10" i="2" s="1"/>
  <c r="X10" i="2" s="1"/>
  <c r="V9" i="2"/>
  <c r="W9" i="2" s="1"/>
  <c r="X9" i="2" s="1"/>
  <c r="V8" i="2"/>
  <c r="W8" i="2" s="1"/>
  <c r="X8" i="2" s="1"/>
  <c r="V7" i="2"/>
  <c r="W7" i="2"/>
  <c r="X7" i="2" s="1"/>
  <c r="V6" i="2"/>
  <c r="W6" i="2" s="1"/>
  <c r="X6" i="2" s="1"/>
  <c r="W5" i="2"/>
  <c r="X5" i="2" s="1"/>
  <c r="V5" i="2"/>
  <c r="U13" i="2"/>
  <c r="U12" i="2"/>
  <c r="U11" i="2"/>
  <c r="U10" i="2"/>
  <c r="U9" i="2"/>
  <c r="U8" i="2"/>
  <c r="U7" i="2"/>
  <c r="U6" i="2"/>
  <c r="U5" i="2"/>
  <c r="U4" i="2"/>
  <c r="V4" i="2" s="1"/>
  <c r="W4" i="2" s="1"/>
  <c r="X4" i="2" s="1"/>
  <c r="T4" i="2"/>
  <c r="T5" i="2"/>
  <c r="T6" i="2"/>
  <c r="T7" i="2"/>
  <c r="T8" i="2"/>
  <c r="T9" i="2"/>
  <c r="T10" i="2"/>
  <c r="T11" i="2"/>
  <c r="T12" i="2"/>
  <c r="T13" i="2"/>
  <c r="R5" i="2"/>
  <c r="R6" i="2"/>
  <c r="R7" i="2"/>
  <c r="R8" i="2"/>
  <c r="R9" i="2"/>
  <c r="R10" i="2"/>
  <c r="R11" i="2"/>
  <c r="R12" i="2"/>
  <c r="R13" i="2"/>
  <c r="R4" i="2"/>
  <c r="Q5" i="2"/>
  <c r="Q6" i="2"/>
  <c r="Q7" i="2"/>
  <c r="Q8" i="2"/>
  <c r="Q9" i="2"/>
  <c r="Q10" i="2"/>
  <c r="Q11" i="2"/>
  <c r="Q12" i="2"/>
  <c r="Q13" i="2"/>
  <c r="Q4" i="2"/>
  <c r="P5" i="2"/>
  <c r="P6" i="2"/>
  <c r="P7" i="2"/>
  <c r="P8" i="2"/>
  <c r="P9" i="2"/>
  <c r="P10" i="2"/>
  <c r="P11" i="2"/>
  <c r="P12" i="2"/>
  <c r="P13" i="2"/>
  <c r="P4" i="2"/>
  <c r="V14" i="1"/>
  <c r="W14" i="1"/>
  <c r="X14" i="1" s="1"/>
  <c r="U14" i="1"/>
  <c r="V13" i="1"/>
  <c r="W13" i="1" s="1"/>
  <c r="X13" i="1" s="1"/>
  <c r="U13" i="1"/>
  <c r="V11" i="1"/>
  <c r="W11" i="1" s="1"/>
  <c r="X11" i="1" s="1"/>
  <c r="U11" i="1"/>
  <c r="V10" i="1"/>
  <c r="W10" i="1" s="1"/>
  <c r="X10" i="1" s="1"/>
  <c r="U10" i="1"/>
  <c r="V9" i="1"/>
  <c r="W9" i="1" s="1"/>
  <c r="X9" i="1" s="1"/>
  <c r="U9" i="1"/>
  <c r="V8" i="1"/>
  <c r="W8" i="1" s="1"/>
  <c r="X8" i="1" s="1"/>
  <c r="U8" i="1"/>
  <c r="V6" i="1"/>
  <c r="W6" i="1" s="1"/>
  <c r="X6" i="1" s="1"/>
  <c r="U6" i="1"/>
  <c r="V5" i="1"/>
  <c r="W5" i="1" s="1"/>
  <c r="X5" i="1" s="1"/>
  <c r="Q6" i="1"/>
  <c r="Q8" i="1"/>
  <c r="Q9" i="1"/>
  <c r="R9" i="1" s="1"/>
  <c r="T9" i="1" s="1"/>
  <c r="Q10" i="1"/>
  <c r="R10" i="1" s="1"/>
  <c r="T10" i="1" s="1"/>
  <c r="Q11" i="1"/>
  <c r="Q13" i="1"/>
  <c r="R13" i="1" s="1"/>
  <c r="T13" i="1" s="1"/>
  <c r="Q14" i="1"/>
  <c r="P6" i="1"/>
  <c r="P8" i="1"/>
  <c r="P9" i="1"/>
  <c r="P10" i="1"/>
  <c r="P11" i="1"/>
  <c r="P13" i="1"/>
  <c r="P14" i="1"/>
  <c r="R14" i="1" s="1"/>
  <c r="T14" i="1" s="1"/>
  <c r="Q5" i="1"/>
  <c r="R5" i="1" s="1"/>
  <c r="T5" i="1" s="1"/>
  <c r="U5" i="1" s="1"/>
  <c r="P5" i="1"/>
  <c r="Q4" i="1"/>
  <c r="P4" i="1"/>
  <c r="R11" i="1"/>
  <c r="T11" i="1" s="1"/>
  <c r="R4" i="1"/>
  <c r="T4" i="1" s="1"/>
  <c r="U4" i="1" s="1"/>
  <c r="V4" i="1" s="1"/>
  <c r="W4" i="1" s="1"/>
  <c r="X4" i="1" s="1"/>
  <c r="D5" i="12"/>
  <c r="E5" i="12"/>
  <c r="F5" i="12"/>
  <c r="G5" i="12"/>
  <c r="H5" i="12"/>
  <c r="I5" i="12"/>
  <c r="J5" i="12"/>
  <c r="K5" i="12"/>
  <c r="L5" i="12"/>
  <c r="M5" i="12"/>
  <c r="N5" i="12"/>
  <c r="C5" i="12"/>
  <c r="D4" i="12"/>
  <c r="E4" i="12"/>
  <c r="F4" i="12"/>
  <c r="G4" i="12"/>
  <c r="H4" i="12"/>
  <c r="I4" i="12"/>
  <c r="J4" i="12"/>
  <c r="K4" i="12"/>
  <c r="L4" i="12"/>
  <c r="M4" i="12"/>
  <c r="N4" i="12"/>
  <c r="C4" i="12"/>
  <c r="D16" i="11"/>
  <c r="E16" i="11"/>
  <c r="F16" i="11"/>
  <c r="G16" i="11"/>
  <c r="H16" i="11"/>
  <c r="I16" i="11"/>
  <c r="J16" i="11"/>
  <c r="K16" i="11"/>
  <c r="L16" i="11"/>
  <c r="M16" i="11"/>
  <c r="N16" i="11"/>
  <c r="C16" i="11"/>
  <c r="D14" i="11"/>
  <c r="E14" i="11"/>
  <c r="F14" i="11"/>
  <c r="G14" i="11"/>
  <c r="H14" i="11"/>
  <c r="I14" i="11"/>
  <c r="J14" i="11"/>
  <c r="K14" i="11"/>
  <c r="L14" i="11"/>
  <c r="M14" i="11"/>
  <c r="N14" i="11"/>
  <c r="C14" i="11"/>
  <c r="D7" i="11"/>
  <c r="E7" i="11"/>
  <c r="F7" i="11"/>
  <c r="G7" i="11"/>
  <c r="H7" i="11"/>
  <c r="I7" i="11"/>
  <c r="J7" i="11"/>
  <c r="K7" i="11"/>
  <c r="L7" i="11"/>
  <c r="M7" i="11"/>
  <c r="N7" i="11"/>
  <c r="C7" i="11"/>
  <c r="C14" i="13" l="1"/>
  <c r="C17" i="13" s="1"/>
  <c r="P18" i="10"/>
  <c r="R18" i="10"/>
  <c r="G13" i="13" s="1"/>
  <c r="G14" i="13" s="1"/>
  <c r="Q18" i="10"/>
  <c r="F13" i="13" s="1"/>
  <c r="F14" i="13" s="1"/>
  <c r="F17" i="13" s="1"/>
  <c r="P10" i="10"/>
  <c r="P17" i="10" s="1"/>
  <c r="D13" i="13"/>
  <c r="D14" i="13" s="1"/>
  <c r="D17" i="13" s="1"/>
  <c r="O10" i="10"/>
  <c r="O17" i="10" s="1"/>
  <c r="R8" i="1"/>
  <c r="T8" i="1" s="1"/>
  <c r="R6" i="1"/>
  <c r="T6" i="1" s="1"/>
  <c r="M8" i="12"/>
  <c r="M13" i="12" s="1"/>
  <c r="L8" i="12"/>
  <c r="L13" i="12" s="1"/>
  <c r="D8" i="12"/>
  <c r="D13" i="12" s="1"/>
  <c r="E8" i="12"/>
  <c r="E13" i="12" s="1"/>
  <c r="K8" i="12"/>
  <c r="K13" i="12" s="1"/>
  <c r="I8" i="12"/>
  <c r="I13" i="12" s="1"/>
  <c r="J8" i="12"/>
  <c r="J13" i="12" s="1"/>
  <c r="H8" i="12"/>
  <c r="H13" i="12" s="1"/>
  <c r="C8" i="12"/>
  <c r="C13" i="12" s="1"/>
  <c r="G8" i="12"/>
  <c r="G13" i="12" s="1"/>
  <c r="N8" i="12"/>
  <c r="N13" i="12" s="1"/>
  <c r="F8" i="12"/>
  <c r="F13" i="12" s="1"/>
  <c r="G17" i="13" l="1"/>
  <c r="G16" i="13"/>
  <c r="G18" i="13" s="1"/>
  <c r="F23" i="13" s="1"/>
  <c r="E13" i="13"/>
  <c r="E14" i="13" s="1"/>
  <c r="E17" i="13" s="1"/>
  <c r="F22" i="13" s="1"/>
  <c r="Q10" i="10"/>
  <c r="Q17" i="10" s="1"/>
  <c r="F24" i="13" l="1"/>
  <c r="F27" i="13" s="1"/>
  <c r="F28" i="13" s="1"/>
  <c r="S10" i="10"/>
  <c r="S17" i="10" s="1"/>
  <c r="R10" i="10"/>
  <c r="R17" i="10" s="1"/>
  <c r="D17" i="10" l="1"/>
  <c r="E17" i="10"/>
  <c r="F17" i="10"/>
  <c r="G17" i="10"/>
  <c r="H17" i="10"/>
  <c r="I17" i="10"/>
  <c r="J17" i="10"/>
  <c r="K17" i="10"/>
  <c r="L17" i="10"/>
  <c r="M17" i="10"/>
  <c r="N17" i="10"/>
  <c r="C17" i="10"/>
  <c r="D15" i="10"/>
  <c r="E15" i="10"/>
  <c r="F15" i="10"/>
  <c r="G15" i="10"/>
  <c r="H15" i="10"/>
  <c r="I15" i="10"/>
  <c r="J15" i="10"/>
  <c r="K15" i="10"/>
  <c r="L15" i="10"/>
  <c r="M15" i="10"/>
  <c r="N15" i="10"/>
  <c r="C15" i="10"/>
  <c r="D10" i="10"/>
  <c r="E10" i="10"/>
  <c r="F10" i="10"/>
  <c r="G10" i="10"/>
  <c r="H10" i="10"/>
  <c r="I10" i="10"/>
  <c r="J10" i="10"/>
  <c r="K10" i="10"/>
  <c r="L10" i="10"/>
  <c r="M10" i="10"/>
  <c r="N10" i="10"/>
  <c r="C10" i="10"/>
</calcChain>
</file>

<file path=xl/sharedStrings.xml><?xml version="1.0" encoding="utf-8"?>
<sst xmlns="http://schemas.openxmlformats.org/spreadsheetml/2006/main" count="273" uniqueCount="186">
  <si>
    <t>Profit &amp; Loss</t>
  </si>
  <si>
    <t>Operating Profit</t>
  </si>
  <si>
    <t>OPM %</t>
  </si>
  <si>
    <t>Interest</t>
  </si>
  <si>
    <t>Depreciation</t>
  </si>
  <si>
    <t>Profit before tax</t>
  </si>
  <si>
    <t>Tax %</t>
  </si>
  <si>
    <t>EPS in Rs</t>
  </si>
  <si>
    <t>Dividend Payout %</t>
  </si>
  <si>
    <t>Compounded Sales Growth</t>
  </si>
  <si>
    <t>10 Years:</t>
  </si>
  <si>
    <t>5 Years:</t>
  </si>
  <si>
    <t>3 Years:</t>
  </si>
  <si>
    <t>TTM:</t>
  </si>
  <si>
    <t>Compounded Profit Growth</t>
  </si>
  <si>
    <t>Stock Price CAGR</t>
  </si>
  <si>
    <t>1 Year:</t>
  </si>
  <si>
    <t>Return on Equity</t>
  </si>
  <si>
    <t>Last Year:</t>
  </si>
  <si>
    <t>Sales </t>
  </si>
  <si>
    <t>Expenses </t>
  </si>
  <si>
    <t>Other Income </t>
  </si>
  <si>
    <t>Net Profit </t>
  </si>
  <si>
    <t>Balance Sheet</t>
  </si>
  <si>
    <t>Equity Capital</t>
  </si>
  <si>
    <t>Reserves</t>
  </si>
  <si>
    <t>Total Liabilities</t>
  </si>
  <si>
    <t>CWIP</t>
  </si>
  <si>
    <t>Investments</t>
  </si>
  <si>
    <t>Total Assets</t>
  </si>
  <si>
    <t>Borrowings </t>
  </si>
  <si>
    <t>Other Liabilities </t>
  </si>
  <si>
    <t>Fixed Assets </t>
  </si>
  <si>
    <t>Other Assets </t>
  </si>
  <si>
    <t>Cash Flows</t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</si>
  <si>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</si>
  <si>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</si>
  <si>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</si>
  <si>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</si>
  <si>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</si>
  <si>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</si>
  <si>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</si>
  <si>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</si>
  <si>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</si>
  <si>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</si>
  <si>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</si>
  <si>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</si>
  <si>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</si>
  <si>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</si>
  <si>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</si>
  <si>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Inter corporate deposits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</si>
  <si>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</si>
  <si>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</si>
  <si>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</si>
  <si>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</si>
  <si>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</si>
  <si>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</si>
  <si>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</si>
  <si>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</si>
  <si>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</si>
  <si>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Free Cash Flow</t>
  </si>
  <si>
    <t>CFO/OP</t>
  </si>
  <si>
    <r>
      <t>Cash from Operating Activity </t>
    </r>
    <r>
      <rPr>
        <sz val="12"/>
        <color rgb="FF665EFD"/>
        <rFont val="Amasis MT Pro"/>
        <family val="1"/>
      </rPr>
      <t>-</t>
    </r>
  </si>
  <si>
    <r>
      <t>Cash from Investing Activity </t>
    </r>
    <r>
      <rPr>
        <sz val="12"/>
        <color rgb="FF665EFD"/>
        <rFont val="Amasis MT Pro"/>
        <family val="1"/>
      </rPr>
      <t>-</t>
    </r>
  </si>
  <si>
    <r>
      <t>Cash from Financing Activity </t>
    </r>
    <r>
      <rPr>
        <sz val="12"/>
        <color rgb="FF665EFD"/>
        <rFont val="Amasis MT Pro"/>
        <family val="1"/>
      </rPr>
      <t>-</t>
    </r>
  </si>
  <si>
    <t>Cash from Operating Activity </t>
  </si>
  <si>
    <t>Cash from Investing Activity </t>
  </si>
  <si>
    <t>Cash from Financing Activity 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</si>
  <si>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</si>
  <si>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</si>
  <si>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</si>
  <si>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</si>
  <si>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</si>
  <si>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</si>
  <si>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</si>
  <si>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</si>
  <si>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</si>
  <si>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</si>
  <si>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</si>
  <si>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</si>
  <si>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</si>
  <si>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</si>
  <si>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</si>
  <si>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</si>
  <si>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</si>
  <si>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</si>
  <si>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</si>
  <si>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Inventories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</si>
  <si>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</si>
  <si>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</si>
  <si>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</si>
  <si>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</si>
  <si>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</si>
  <si>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</si>
  <si>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 xml:space="preserve">Trade receivables </t>
  </si>
  <si>
    <t>Sales Growth %</t>
  </si>
  <si>
    <t>Manufacturing Cost %</t>
  </si>
  <si>
    <t>Employee Cost %</t>
  </si>
  <si>
    <t>Other Cost %</t>
  </si>
  <si>
    <t>Exceptional items</t>
  </si>
  <si>
    <t>Other income normal</t>
  </si>
  <si>
    <t>Minority share</t>
  </si>
  <si>
    <t>Exceptional items AT</t>
  </si>
  <si>
    <t>Profit excl Excep</t>
  </si>
  <si>
    <t>Profit for PE</t>
  </si>
  <si>
    <t>Profit for EPS</t>
  </si>
  <si>
    <t>Profit Growth %</t>
  </si>
  <si>
    <t xml:space="preserve">Material Cost % </t>
  </si>
  <si>
    <t>Profit &amp; Loss Detail</t>
  </si>
  <si>
    <t>Balance Sheet Detail</t>
  </si>
  <si>
    <t>Cash Flow Detail</t>
  </si>
  <si>
    <t>Debtor Days</t>
  </si>
  <si>
    <t>Inventory Days</t>
  </si>
  <si>
    <t>Days Payable</t>
  </si>
  <si>
    <t>Cash Conversion Cycle</t>
  </si>
  <si>
    <t>Working Capital Days</t>
  </si>
  <si>
    <t>ROCE %</t>
  </si>
  <si>
    <t xml:space="preserve">TCS Company Valuation </t>
  </si>
  <si>
    <t>Current Assets</t>
  </si>
  <si>
    <t>Working Capital</t>
  </si>
  <si>
    <t>Current Liabilities</t>
  </si>
  <si>
    <t>Total Current Liabilities</t>
  </si>
  <si>
    <t>Total Current Assets</t>
  </si>
  <si>
    <t>Working Capital in Crores</t>
  </si>
  <si>
    <t>Equity</t>
  </si>
  <si>
    <t>Debt</t>
  </si>
  <si>
    <t>Total Equity</t>
  </si>
  <si>
    <t>Total Gross Debt</t>
  </si>
  <si>
    <t>Net Debt</t>
  </si>
  <si>
    <t>Capital Structure</t>
  </si>
  <si>
    <t>Debt / (Debt + Equity)</t>
  </si>
  <si>
    <t>Equity / (Debt + Equity)</t>
  </si>
  <si>
    <t>Cost of equity</t>
  </si>
  <si>
    <t>Cost of debt</t>
  </si>
  <si>
    <t>WACC</t>
  </si>
  <si>
    <t>-</t>
  </si>
  <si>
    <t>YOY %</t>
  </si>
  <si>
    <t>26-25</t>
  </si>
  <si>
    <t>25-24</t>
  </si>
  <si>
    <t xml:space="preserve">Avg. </t>
  </si>
  <si>
    <t>Average Return %</t>
  </si>
  <si>
    <t>EBIT</t>
  </si>
  <si>
    <t>EBIT (1 - T)</t>
  </si>
  <si>
    <t>less: Capex</t>
  </si>
  <si>
    <t>Capex</t>
  </si>
  <si>
    <t>Net Working Capital</t>
  </si>
  <si>
    <t>FCFF</t>
  </si>
  <si>
    <t>Inventory % of revenue</t>
  </si>
  <si>
    <t>Less: NWC</t>
  </si>
  <si>
    <t>Year ---&gt;</t>
  </si>
  <si>
    <t>Terminal Value</t>
  </si>
  <si>
    <t>Perpetual Growth Rate</t>
  </si>
  <si>
    <t>PV OF FCFF</t>
  </si>
  <si>
    <t>PV OF Terminal Value</t>
  </si>
  <si>
    <t>Perpetuity Growth Rate-Based Valuation</t>
  </si>
  <si>
    <t>Total PV of Cash Flows</t>
  </si>
  <si>
    <t>PV of Terminal value</t>
  </si>
  <si>
    <t>Enterprise Value</t>
  </si>
  <si>
    <t>Equity Value</t>
  </si>
  <si>
    <t>less: Debt</t>
  </si>
  <si>
    <t>Add: Cash</t>
  </si>
  <si>
    <t>Shares Outstanding</t>
  </si>
  <si>
    <t>crore shares</t>
  </si>
  <si>
    <t>Value per share</t>
  </si>
  <si>
    <t>TCS DCF Model</t>
  </si>
  <si>
    <t>Comparable Company valuation</t>
  </si>
  <si>
    <t>Infosys</t>
  </si>
  <si>
    <t>EV/EBITDA</t>
  </si>
  <si>
    <t>Company</t>
  </si>
  <si>
    <t>Enterprise Value/Revenue</t>
  </si>
  <si>
    <t>Wipro</t>
  </si>
  <si>
    <t>HCLTech</t>
  </si>
  <si>
    <t>Average</t>
  </si>
  <si>
    <t>TCS EBITDA</t>
  </si>
  <si>
    <t>TCS EV</t>
  </si>
  <si>
    <t>TCS Revenue</t>
  </si>
  <si>
    <t>Sensitivity Analysis Table</t>
  </si>
  <si>
    <t>WACC ↓ / Terminal Growth →</t>
  </si>
  <si>
    <t>TCS Market Price</t>
  </si>
  <si>
    <t>DCF Price</t>
  </si>
  <si>
    <t>Intrinsic Value &lt; Market Price</t>
  </si>
  <si>
    <t>Company Sources</t>
  </si>
  <si>
    <t>Screener</t>
  </si>
  <si>
    <t>Yahoo Finance</t>
  </si>
  <si>
    <t>Sources</t>
  </si>
  <si>
    <t>Compare with Market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</si>
</sst>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_ * #,##0.000_ ;_ * \-#,##0.000_ ;_ * &quot;-&quot;??_ ;_ @_ "/>
    <numFmt numFmtId="168" formatCode="_ * #,##0.00000_ ;_ * \-#,##0.00000_ ;_ * &quot;-&quot;??_ ;_ @_ "/>
    <numFmt numFmtId="171" formatCode="_(* #,##0.0_);_(* \(#,##0.0\);_(* &quot;-&quot;?_);@_)"/>
    <numFmt numFmtId="176" formatCode="_(* #,##0_);_(* \(#,##0\);_(* &quot;-&quot;?_);@_)"/>
  </numFmts>
  <fonts count="2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masis MT Pro"/>
      <family val="1"/>
    </font>
    <font>
      <sz val="12"/>
      <color theme="1"/>
      <name val="Amasis MT Pro"/>
      <family val="1"/>
    </font>
    <font>
      <sz val="12"/>
      <color theme="0"/>
      <name val="Amasis MT Pro"/>
      <family val="1"/>
    </font>
    <font>
      <sz val="12"/>
      <color theme="1"/>
      <name val="Amasis MT Pro"/>
      <family val="1"/>
    </font>
    <font>
      <sz val="12"/>
      <color rgb="FF665EFD"/>
      <name val="Amasis MT Pro"/>
      <family val="1"/>
    </font>
    <font>
      <sz val="12"/>
      <color theme="1"/>
      <name val="Amasis MT Pro"/>
      <family val="1"/>
    </font>
    <font>
      <sz val="12"/>
      <color theme="0"/>
      <name val="Amasis MT Pro"/>
      <family val="1"/>
    </font>
    <font>
      <sz val="12"/>
      <name val="Amasis MT Pro"/>
      <family val="1"/>
    </font>
    <font>
      <sz val="12"/>
      <name val="Amasis MT Pro"/>
      <family val="1"/>
    </font>
    <font>
      <b/>
      <sz val="12"/>
      <color theme="0"/>
      <name val="Amasis MT Pro"/>
      <family val="1"/>
    </font>
    <font>
      <b/>
      <sz val="14"/>
      <color theme="1"/>
      <name val="Amasis MT Pro"/>
      <family val="1"/>
    </font>
    <font>
      <b/>
      <sz val="14"/>
      <name val="Amasis MT Pro"/>
      <family val="1"/>
    </font>
    <font>
      <b/>
      <sz val="14"/>
      <color rgb="FF22222F"/>
      <name val="Amasis MT Pro"/>
      <family val="1"/>
    </font>
    <font>
      <b/>
      <sz val="36"/>
      <color rgb="FF0070C0"/>
      <name val="Amasis MT Pro"/>
      <family val="1"/>
    </font>
    <font>
      <sz val="11"/>
      <color theme="1"/>
      <name val="Aptos Narrow"/>
      <family val="2"/>
      <scheme val="minor"/>
    </font>
    <font>
      <b/>
      <sz val="12"/>
      <color theme="1"/>
      <name val="Amasis MT Pro"/>
      <family val="1"/>
    </font>
    <font>
      <b/>
      <sz val="12"/>
      <name val="Amasis MT Pro"/>
      <family val="1"/>
    </font>
    <font>
      <sz val="11"/>
      <color rgb="FF22222F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masis MT Pro"/>
      <family val="1"/>
    </font>
    <font>
      <b/>
      <sz val="12"/>
      <color rgb="FF002060"/>
      <name val="Amasis MT Pro"/>
      <family val="1"/>
    </font>
    <font>
      <sz val="10"/>
      <name val="Arial"/>
      <family val="2"/>
    </font>
    <font>
      <b/>
      <sz val="12"/>
      <color indexed="9"/>
      <name val="Amasis MT Pro"/>
      <family val="1"/>
    </font>
    <font>
      <b/>
      <sz val="14"/>
      <color theme="0"/>
      <name val="Amasis MT Pro"/>
      <family val="1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6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 vertical="center" indent="2"/>
    </xf>
    <xf numFmtId="17" fontId="4" fillId="2" borderId="1" xfId="0" applyNumberFormat="1" applyFont="1" applyFill="1" applyBorder="1" applyAlignment="1">
      <alignment horizontal="right" vertical="center" wrapText="1" indent="1"/>
    </xf>
    <xf numFmtId="0" fontId="8" fillId="0" borderId="0" xfId="0" applyFont="1"/>
    <xf numFmtId="0" fontId="9" fillId="0" borderId="0" xfId="0" applyFont="1"/>
    <xf numFmtId="0" fontId="9" fillId="3" borderId="0" xfId="0" applyFont="1" applyFill="1" applyAlignment="1">
      <alignment horizontal="left" vertical="center" indent="2"/>
    </xf>
    <xf numFmtId="0" fontId="9" fillId="3" borderId="0" xfId="0" applyFont="1" applyFill="1" applyAlignment="1">
      <alignment horizontal="right" vertical="center" wrapText="1" indent="1"/>
    </xf>
    <xf numFmtId="3" fontId="9" fillId="3" borderId="0" xfId="0" applyNumberFormat="1" applyFont="1" applyFill="1" applyAlignment="1">
      <alignment horizontal="right" vertical="center" wrapText="1" indent="1"/>
    </xf>
    <xf numFmtId="0" fontId="10" fillId="3" borderId="4" xfId="0" applyFont="1" applyFill="1" applyBorder="1" applyAlignment="1">
      <alignment horizontal="left" vertical="center" indent="2"/>
    </xf>
    <xf numFmtId="3" fontId="10" fillId="3" borderId="4" xfId="0" applyNumberFormat="1" applyFont="1" applyFill="1" applyBorder="1" applyAlignment="1">
      <alignment horizontal="right" vertical="center" wrapText="1" indent="1"/>
    </xf>
    <xf numFmtId="0" fontId="3" fillId="3" borderId="0" xfId="0" applyFont="1" applyFill="1" applyAlignment="1">
      <alignment horizontal="left" vertical="center" indent="2"/>
    </xf>
    <xf numFmtId="3" fontId="3" fillId="3" borderId="0" xfId="0" applyNumberFormat="1" applyFont="1" applyFill="1" applyAlignment="1">
      <alignment horizontal="right" vertical="center" wrapText="1" indent="1"/>
    </xf>
    <xf numFmtId="0" fontId="5" fillId="3" borderId="3" xfId="0" applyFont="1" applyFill="1" applyBorder="1" applyAlignment="1">
      <alignment horizontal="left" vertical="center" indent="2"/>
    </xf>
    <xf numFmtId="3" fontId="5" fillId="3" borderId="3" xfId="0" applyNumberFormat="1" applyFont="1" applyFill="1" applyBorder="1" applyAlignment="1">
      <alignment horizontal="right" vertical="center" wrapText="1" indent="1"/>
    </xf>
    <xf numFmtId="9" fontId="3" fillId="3" borderId="0" xfId="0" applyNumberFormat="1" applyFont="1" applyFill="1" applyAlignment="1">
      <alignment horizontal="right" vertical="center" wrapText="1" indent="1"/>
    </xf>
    <xf numFmtId="0" fontId="3" fillId="3" borderId="0" xfId="0" applyFont="1" applyFill="1" applyAlignment="1">
      <alignment horizontal="right" vertical="center" wrapText="1" indent="1"/>
    </xf>
    <xf numFmtId="0" fontId="5" fillId="3" borderId="4" xfId="0" applyFont="1" applyFill="1" applyBorder="1" applyAlignment="1">
      <alignment horizontal="left" vertical="center" indent="2"/>
    </xf>
    <xf numFmtId="3" fontId="5" fillId="3" borderId="4" xfId="0" applyNumberFormat="1" applyFont="1" applyFill="1" applyBorder="1" applyAlignment="1">
      <alignment horizontal="right" vertical="center" wrapText="1" indent="1"/>
    </xf>
    <xf numFmtId="0" fontId="3" fillId="3" borderId="0" xfId="0" applyFont="1" applyFill="1"/>
    <xf numFmtId="0" fontId="3" fillId="3" borderId="0" xfId="0" applyFont="1" applyFill="1" applyAlignment="1">
      <alignment horizontal="left" vertical="center" wrapText="1"/>
    </xf>
    <xf numFmtId="9" fontId="7" fillId="3" borderId="0" xfId="0" applyNumberFormat="1" applyFont="1" applyFill="1" applyAlignment="1">
      <alignment horizontal="right" vertical="center" wrapText="1"/>
    </xf>
    <xf numFmtId="3" fontId="5" fillId="3" borderId="2" xfId="0" applyNumberFormat="1" applyFont="1" applyFill="1" applyBorder="1" applyAlignment="1">
      <alignment horizontal="right" vertical="center" wrapText="1" indent="1"/>
    </xf>
    <xf numFmtId="0" fontId="5" fillId="3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right" vertical="center" wrapText="1" indent="1"/>
    </xf>
    <xf numFmtId="0" fontId="11" fillId="2" borderId="1" xfId="0" applyFont="1" applyFill="1" applyBorder="1" applyAlignment="1">
      <alignment horizontal="left" vertical="center" indent="2"/>
    </xf>
    <xf numFmtId="17" fontId="11" fillId="2" borderId="1" xfId="0" applyNumberFormat="1" applyFont="1" applyFill="1" applyBorder="1" applyAlignment="1">
      <alignment horizontal="right" vertical="center" wrapText="1" indent="1"/>
    </xf>
    <xf numFmtId="17" fontId="11" fillId="2" borderId="0" xfId="0" applyNumberFormat="1" applyFont="1" applyFill="1" applyAlignment="1">
      <alignment horizontal="right" vertical="center" wrapText="1" indent="1"/>
    </xf>
    <xf numFmtId="0" fontId="5" fillId="3" borderId="0" xfId="0" applyFont="1" applyFill="1" applyAlignment="1">
      <alignment horizontal="left" vertical="center"/>
    </xf>
    <xf numFmtId="3" fontId="5" fillId="3" borderId="0" xfId="0" applyNumberFormat="1" applyFont="1" applyFill="1" applyAlignment="1">
      <alignment horizontal="right" vertical="center" wrapText="1" indent="1"/>
    </xf>
    <xf numFmtId="9" fontId="9" fillId="3" borderId="0" xfId="0" applyNumberFormat="1" applyFont="1" applyFill="1" applyAlignment="1">
      <alignment horizontal="right" vertical="center" wrapText="1" indent="1"/>
    </xf>
    <xf numFmtId="0" fontId="3" fillId="3" borderId="0" xfId="0" applyFont="1" applyFill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right" vertical="center" wrapText="1" indent="1"/>
    </xf>
    <xf numFmtId="0" fontId="11" fillId="2" borderId="0" xfId="0" applyFont="1" applyFill="1" applyAlignment="1">
      <alignment horizontal="left" vertical="center"/>
    </xf>
    <xf numFmtId="0" fontId="5" fillId="3" borderId="4" xfId="0" applyFont="1" applyFill="1" applyBorder="1" applyAlignment="1">
      <alignment horizontal="left" vertical="top"/>
    </xf>
    <xf numFmtId="0" fontId="0" fillId="3" borderId="0" xfId="0" applyFill="1"/>
    <xf numFmtId="0" fontId="9" fillId="3" borderId="0" xfId="0" applyFont="1" applyFill="1"/>
    <xf numFmtId="0" fontId="10" fillId="3" borderId="2" xfId="0" applyFont="1" applyFill="1" applyBorder="1" applyAlignment="1">
      <alignment horizontal="right" vertical="center" wrapText="1" indent="1"/>
    </xf>
    <xf numFmtId="3" fontId="10" fillId="3" borderId="2" xfId="0" applyNumberFormat="1" applyFont="1" applyFill="1" applyBorder="1" applyAlignment="1">
      <alignment horizontal="right" vertical="center" wrapText="1" indent="1"/>
    </xf>
    <xf numFmtId="0" fontId="10" fillId="3" borderId="4" xfId="0" applyFont="1" applyFill="1" applyBorder="1" applyAlignment="1">
      <alignment horizontal="right" vertical="center" wrapText="1" indent="1"/>
    </xf>
    <xf numFmtId="0" fontId="10" fillId="3" borderId="2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/>
    </xf>
    <xf numFmtId="3" fontId="10" fillId="3" borderId="0" xfId="0" applyNumberFormat="1" applyFont="1" applyFill="1" applyAlignment="1">
      <alignment horizontal="right" vertical="center" wrapText="1" indent="1"/>
    </xf>
    <xf numFmtId="0" fontId="10" fillId="3" borderId="4" xfId="0" applyFont="1" applyFill="1" applyBorder="1" applyAlignment="1">
      <alignment horizontal="left" vertical="center"/>
    </xf>
    <xf numFmtId="10" fontId="9" fillId="3" borderId="0" xfId="0" applyNumberFormat="1" applyFont="1" applyFill="1" applyAlignment="1">
      <alignment horizontal="right" vertical="center" wrapText="1" indent="1"/>
    </xf>
    <xf numFmtId="0" fontId="1" fillId="3" borderId="0" xfId="0" applyFont="1" applyFill="1"/>
    <xf numFmtId="0" fontId="0" fillId="3" borderId="0" xfId="0" applyFill="1" applyAlignment="1">
      <alignment horizontal="left"/>
    </xf>
    <xf numFmtId="0" fontId="12" fillId="0" borderId="0" xfId="0" applyFont="1" applyAlignment="1">
      <alignment vertical="center" wrapText="1"/>
    </xf>
    <xf numFmtId="0" fontId="13" fillId="3" borderId="0" xfId="0" applyFont="1" applyFill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14" fillId="3" borderId="0" xfId="0" applyFont="1" applyFill="1" applyAlignment="1">
      <alignment horizontal="left" vertical="center" wrapText="1"/>
    </xf>
    <xf numFmtId="9" fontId="5" fillId="3" borderId="4" xfId="0" applyNumberFormat="1" applyFont="1" applyFill="1" applyBorder="1" applyAlignment="1">
      <alignment horizontal="right" vertical="center" wrapText="1" indent="1"/>
    </xf>
    <xf numFmtId="0" fontId="2" fillId="3" borderId="0" xfId="0" applyFont="1" applyFill="1"/>
    <xf numFmtId="0" fontId="15" fillId="3" borderId="0" xfId="0" applyFont="1" applyFill="1"/>
    <xf numFmtId="164" fontId="3" fillId="3" borderId="0" xfId="1" applyNumberFormat="1" applyFont="1" applyFill="1"/>
    <xf numFmtId="164" fontId="12" fillId="3" borderId="0" xfId="1" applyNumberFormat="1" applyFont="1" applyFill="1"/>
    <xf numFmtId="164" fontId="17" fillId="3" borderId="0" xfId="1" applyNumberFormat="1" applyFont="1" applyFill="1"/>
    <xf numFmtId="164" fontId="9" fillId="3" borderId="0" xfId="1" applyNumberFormat="1" applyFont="1" applyFill="1" applyAlignment="1">
      <alignment horizontal="left" vertical="center"/>
    </xf>
    <xf numFmtId="164" fontId="9" fillId="3" borderId="0" xfId="1" applyNumberFormat="1" applyFont="1" applyFill="1" applyAlignment="1">
      <alignment horizontal="right" vertical="center" wrapText="1" indent="1"/>
    </xf>
    <xf numFmtId="164" fontId="18" fillId="3" borderId="0" xfId="1" applyNumberFormat="1" applyFont="1" applyFill="1" applyAlignment="1">
      <alignment horizontal="left" vertical="center"/>
    </xf>
    <xf numFmtId="164" fontId="9" fillId="3" borderId="2" xfId="1" applyNumberFormat="1" applyFont="1" applyFill="1" applyBorder="1" applyAlignment="1">
      <alignment horizontal="left" vertical="center"/>
    </xf>
    <xf numFmtId="164" fontId="9" fillId="3" borderId="2" xfId="1" applyNumberFormat="1" applyFont="1" applyFill="1" applyBorder="1" applyAlignment="1">
      <alignment horizontal="right" vertical="center" wrapText="1" indent="1"/>
    </xf>
    <xf numFmtId="164" fontId="18" fillId="3" borderId="4" xfId="1" applyNumberFormat="1" applyFont="1" applyFill="1" applyBorder="1" applyAlignment="1">
      <alignment horizontal="left" vertical="center"/>
    </xf>
    <xf numFmtId="164" fontId="18" fillId="3" borderId="4" xfId="1" applyNumberFormat="1" applyFont="1" applyFill="1" applyBorder="1" applyAlignment="1">
      <alignment horizontal="right" vertical="center" wrapText="1" indent="1"/>
    </xf>
    <xf numFmtId="164" fontId="17" fillId="3" borderId="4" xfId="1" applyNumberFormat="1" applyFont="1" applyFill="1" applyBorder="1"/>
    <xf numFmtId="43" fontId="3" fillId="3" borderId="0" xfId="1" applyFont="1" applyFill="1"/>
    <xf numFmtId="43" fontId="12" fillId="3" borderId="0" xfId="1" applyFont="1" applyFill="1"/>
    <xf numFmtId="164" fontId="3" fillId="3" borderId="4" xfId="1" applyNumberFormat="1" applyFont="1" applyFill="1" applyBorder="1"/>
    <xf numFmtId="43" fontId="3" fillId="3" borderId="0" xfId="1" applyFont="1" applyFill="1" applyAlignment="1">
      <alignment horizontal="center"/>
    </xf>
    <xf numFmtId="2" fontId="3" fillId="0" borderId="0" xfId="0" applyNumberFormat="1" applyFont="1"/>
    <xf numFmtId="43" fontId="3" fillId="3" borderId="0" xfId="1" applyFont="1" applyFill="1" applyAlignment="1">
      <alignment horizontal="left"/>
    </xf>
    <xf numFmtId="43" fontId="18" fillId="3" borderId="4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4" fontId="3" fillId="3" borderId="0" xfId="1" applyNumberFormat="1" applyFont="1" applyFill="1" applyAlignment="1"/>
    <xf numFmtId="2" fontId="17" fillId="0" borderId="4" xfId="0" applyNumberFormat="1" applyFont="1" applyBorder="1" applyAlignment="1">
      <alignment horizontal="center"/>
    </xf>
    <xf numFmtId="2" fontId="17" fillId="0" borderId="0" xfId="0" applyNumberFormat="1" applyFont="1"/>
    <xf numFmtId="2" fontId="17" fillId="0" borderId="4" xfId="0" applyNumberFormat="1" applyFont="1" applyBorder="1"/>
    <xf numFmtId="0" fontId="17" fillId="3" borderId="0" xfId="0" applyFont="1" applyFill="1" applyAlignment="1">
      <alignment horizontal="center"/>
    </xf>
    <xf numFmtId="4" fontId="3" fillId="0" borderId="0" xfId="0" applyNumberFormat="1" applyFont="1"/>
    <xf numFmtId="0" fontId="17" fillId="3" borderId="0" xfId="0" applyFont="1" applyFill="1" applyAlignment="1">
      <alignment horizontal="center" wrapText="1"/>
    </xf>
    <xf numFmtId="4" fontId="3" fillId="4" borderId="0" xfId="0" applyNumberFormat="1" applyFont="1" applyFill="1"/>
    <xf numFmtId="4" fontId="3" fillId="4" borderId="4" xfId="0" applyNumberFormat="1" applyFont="1" applyFill="1" applyBorder="1"/>
    <xf numFmtId="2" fontId="9" fillId="0" borderId="0" xfId="0" applyNumberFormat="1" applyFont="1"/>
    <xf numFmtId="165" fontId="9" fillId="0" borderId="0" xfId="1" applyNumberFormat="1" applyFont="1"/>
    <xf numFmtId="2" fontId="9" fillId="0" borderId="4" xfId="0" applyNumberFormat="1" applyFont="1" applyBorder="1"/>
    <xf numFmtId="165" fontId="9" fillId="0" borderId="4" xfId="1" applyNumberFormat="1" applyFont="1" applyBorder="1"/>
    <xf numFmtId="2" fontId="9" fillId="3" borderId="0" xfId="0" applyNumberFormat="1" applyFont="1" applyFill="1"/>
    <xf numFmtId="43" fontId="9" fillId="3" borderId="0" xfId="1" applyFont="1" applyFill="1"/>
    <xf numFmtId="2" fontId="9" fillId="3" borderId="4" xfId="0" applyNumberFormat="1" applyFont="1" applyFill="1" applyBorder="1"/>
    <xf numFmtId="43" fontId="9" fillId="4" borderId="0" xfId="1" applyFont="1" applyFill="1"/>
    <xf numFmtId="43" fontId="9" fillId="4" borderId="4" xfId="1" applyFont="1" applyFill="1" applyBorder="1"/>
    <xf numFmtId="43" fontId="18" fillId="4" borderId="0" xfId="1" applyFont="1" applyFill="1"/>
    <xf numFmtId="2" fontId="18" fillId="3" borderId="0" xfId="0" applyNumberFormat="1" applyFont="1" applyFill="1"/>
    <xf numFmtId="2" fontId="18" fillId="3" borderId="4" xfId="0" applyNumberFormat="1" applyFont="1" applyFill="1" applyBorder="1"/>
    <xf numFmtId="164" fontId="3" fillId="4" borderId="0" xfId="1" applyNumberFormat="1" applyFont="1" applyFill="1"/>
    <xf numFmtId="164" fontId="3" fillId="4" borderId="4" xfId="1" applyNumberFormat="1" applyFont="1" applyFill="1" applyBorder="1"/>
    <xf numFmtId="164" fontId="3" fillId="3" borderId="0" xfId="0" applyNumberFormat="1" applyFont="1" applyFill="1" applyAlignment="1">
      <alignment horizontal="right" vertical="center" wrapText="1" indent="1"/>
    </xf>
    <xf numFmtId="165" fontId="3" fillId="3" borderId="0" xfId="0" applyNumberFormat="1" applyFont="1" applyFill="1" applyAlignment="1">
      <alignment horizontal="right" vertical="center" wrapText="1" indent="1"/>
    </xf>
    <xf numFmtId="166" fontId="17" fillId="3" borderId="0" xfId="1" applyNumberFormat="1" applyFont="1" applyFill="1"/>
    <xf numFmtId="164" fontId="9" fillId="4" borderId="0" xfId="1" applyNumberFormat="1" applyFont="1" applyFill="1" applyAlignment="1">
      <alignment horizontal="right" vertical="center" wrapText="1" indent="1"/>
    </xf>
    <xf numFmtId="3" fontId="9" fillId="4" borderId="0" xfId="0" applyNumberFormat="1" applyFont="1" applyFill="1" applyAlignment="1">
      <alignment horizontal="right" vertical="center" wrapText="1" indent="1"/>
    </xf>
    <xf numFmtId="164" fontId="3" fillId="4" borderId="0" xfId="1" applyNumberFormat="1" applyFont="1" applyFill="1" applyAlignment="1">
      <alignment horizontal="center"/>
    </xf>
    <xf numFmtId="43" fontId="3" fillId="4" borderId="0" xfId="1" applyFont="1" applyFill="1"/>
    <xf numFmtId="43" fontId="3" fillId="4" borderId="0" xfId="1" applyFont="1" applyFill="1" applyAlignment="1">
      <alignment horizontal="center"/>
    </xf>
    <xf numFmtId="2" fontId="17" fillId="4" borderId="4" xfId="0" applyNumberFormat="1" applyFont="1" applyFill="1" applyBorder="1" applyAlignment="1">
      <alignment horizontal="center"/>
    </xf>
    <xf numFmtId="43" fontId="2" fillId="0" borderId="0" xfId="1" applyFont="1"/>
    <xf numFmtId="0" fontId="19" fillId="5" borderId="0" xfId="0" applyFont="1" applyFill="1" applyAlignment="1">
      <alignment horizontal="left" vertical="center"/>
    </xf>
    <xf numFmtId="3" fontId="19" fillId="5" borderId="0" xfId="0" applyNumberFormat="1" applyFont="1" applyFill="1" applyAlignment="1">
      <alignment horizontal="right" vertical="center" wrapText="1" indent="1"/>
    </xf>
    <xf numFmtId="0" fontId="18" fillId="3" borderId="0" xfId="0" applyFont="1" applyFill="1"/>
    <xf numFmtId="43" fontId="12" fillId="0" borderId="0" xfId="1" applyFont="1" applyAlignment="1">
      <alignment horizontal="left"/>
    </xf>
    <xf numFmtId="43" fontId="2" fillId="0" borderId="0" xfId="1" applyFont="1" applyAlignment="1">
      <alignment horizontal="left"/>
    </xf>
    <xf numFmtId="43" fontId="11" fillId="2" borderId="1" xfId="1" applyFont="1" applyFill="1" applyBorder="1" applyAlignment="1">
      <alignment horizontal="left" vertical="center" wrapText="1"/>
    </xf>
    <xf numFmtId="43" fontId="3" fillId="3" borderId="0" xfId="1" applyFont="1" applyFill="1" applyAlignment="1">
      <alignment horizontal="left" vertical="center"/>
    </xf>
    <xf numFmtId="164" fontId="17" fillId="3" borderId="5" xfId="1" applyNumberFormat="1" applyFont="1" applyFill="1" applyBorder="1"/>
    <xf numFmtId="164" fontId="3" fillId="4" borderId="5" xfId="1" applyNumberFormat="1" applyFont="1" applyFill="1" applyBorder="1"/>
    <xf numFmtId="164" fontId="17" fillId="4" borderId="4" xfId="1" applyNumberFormat="1" applyFont="1" applyFill="1" applyBorder="1"/>
    <xf numFmtId="0" fontId="11" fillId="2" borderId="0" xfId="0" applyFont="1" applyFill="1" applyAlignment="1">
      <alignment horizontal="left" vertical="center" wrapText="1"/>
    </xf>
    <xf numFmtId="168" fontId="17" fillId="3" borderId="0" xfId="1" applyNumberFormat="1" applyFont="1" applyFill="1"/>
    <xf numFmtId="43" fontId="21" fillId="0" borderId="4" xfId="1" applyFont="1" applyBorder="1" applyAlignment="1">
      <alignment horizontal="left"/>
    </xf>
    <xf numFmtId="171" fontId="17" fillId="3" borderId="0" xfId="0" applyNumberFormat="1" applyFont="1" applyFill="1"/>
    <xf numFmtId="171" fontId="17" fillId="3" borderId="0" xfId="0" applyNumberFormat="1" applyFont="1" applyFill="1" applyAlignment="1">
      <alignment horizontal="center" vertical="center"/>
    </xf>
    <xf numFmtId="43" fontId="21" fillId="0" borderId="4" xfId="1" applyFont="1" applyBorder="1"/>
    <xf numFmtId="43" fontId="21" fillId="0" borderId="0" xfId="1" applyFont="1"/>
    <xf numFmtId="43" fontId="21" fillId="0" borderId="0" xfId="1" applyFont="1" applyBorder="1" applyAlignment="1">
      <alignment horizontal="left"/>
    </xf>
    <xf numFmtId="43" fontId="21" fillId="0" borderId="0" xfId="1" applyFont="1" applyBorder="1"/>
    <xf numFmtId="0" fontId="21" fillId="0" borderId="0" xfId="2" applyNumberFormat="1" applyFont="1"/>
    <xf numFmtId="0" fontId="24" fillId="6" borderId="0" xfId="3" applyNumberFormat="1" applyFont="1" applyFill="1" applyBorder="1" applyAlignment="1">
      <alignment horizontal="center"/>
    </xf>
    <xf numFmtId="171" fontId="3" fillId="3" borderId="0" xfId="0" applyNumberFormat="1" applyFont="1" applyFill="1"/>
    <xf numFmtId="176" fontId="3" fillId="3" borderId="0" xfId="0" applyNumberFormat="1" applyFont="1" applyFill="1"/>
    <xf numFmtId="171" fontId="22" fillId="3" borderId="6" xfId="0" applyNumberFormat="1" applyFont="1" applyFill="1" applyBorder="1"/>
    <xf numFmtId="176" fontId="22" fillId="3" borderId="6" xfId="0" applyNumberFormat="1" applyFont="1" applyFill="1" applyBorder="1"/>
    <xf numFmtId="171" fontId="11" fillId="2" borderId="0" xfId="0" applyNumberFormat="1" applyFont="1" applyFill="1"/>
    <xf numFmtId="171" fontId="22" fillId="3" borderId="0" xfId="0" applyNumberFormat="1" applyFont="1" applyFill="1" applyBorder="1"/>
    <xf numFmtId="176" fontId="22" fillId="3" borderId="0" xfId="0" applyNumberFormat="1" applyFont="1" applyFill="1" applyBorder="1"/>
    <xf numFmtId="0" fontId="20" fillId="0" borderId="0" xfId="0" applyFont="1"/>
    <xf numFmtId="176" fontId="22" fillId="3" borderId="0" xfId="0" applyNumberFormat="1" applyFont="1" applyFill="1"/>
    <xf numFmtId="0" fontId="2" fillId="0" borderId="0" xfId="0" applyFont="1" applyAlignment="1">
      <alignment horizontal="left"/>
    </xf>
    <xf numFmtId="171" fontId="22" fillId="3" borderId="0" xfId="0" applyNumberFormat="1" applyFont="1" applyFill="1" applyAlignment="1">
      <alignment horizontal="left"/>
    </xf>
    <xf numFmtId="171" fontId="3" fillId="3" borderId="0" xfId="0" applyNumberFormat="1" applyFont="1" applyFill="1" applyAlignment="1">
      <alignment horizontal="left"/>
    </xf>
    <xf numFmtId="171" fontId="17" fillId="3" borderId="6" xfId="0" applyNumberFormat="1" applyFont="1" applyFill="1" applyBorder="1" applyAlignment="1">
      <alignment horizontal="left"/>
    </xf>
    <xf numFmtId="171" fontId="3" fillId="3" borderId="0" xfId="0" applyNumberFormat="1" applyFont="1" applyFill="1" applyBorder="1" applyAlignment="1">
      <alignment horizontal="left"/>
    </xf>
    <xf numFmtId="171" fontId="11" fillId="2" borderId="0" xfId="0" applyNumberFormat="1" applyFont="1" applyFill="1" applyAlignment="1">
      <alignment horizontal="left"/>
    </xf>
    <xf numFmtId="0" fontId="17" fillId="0" borderId="0" xfId="0" applyFont="1"/>
    <xf numFmtId="43" fontId="17" fillId="0" borderId="0" xfId="1" applyFont="1"/>
    <xf numFmtId="0" fontId="11" fillId="2" borderId="0" xfId="0" applyFont="1" applyFill="1"/>
    <xf numFmtId="0" fontId="17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2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43" fontId="17" fillId="0" borderId="0" xfId="1" applyFont="1" applyAlignment="1">
      <alignment horizontal="center"/>
    </xf>
    <xf numFmtId="0" fontId="12" fillId="0" borderId="0" xfId="0" applyFont="1" applyAlignment="1"/>
    <xf numFmtId="9" fontId="3" fillId="0" borderId="0" xfId="0" applyNumberFormat="1" applyFont="1"/>
    <xf numFmtId="0" fontId="12" fillId="0" borderId="0" xfId="0" applyFont="1"/>
    <xf numFmtId="9" fontId="11" fillId="2" borderId="0" xfId="0" applyNumberFormat="1" applyFont="1" applyFill="1"/>
    <xf numFmtId="9" fontId="22" fillId="3" borderId="0" xfId="0" applyNumberFormat="1" applyFont="1" applyFill="1" applyAlignment="1">
      <alignment horizontal="center"/>
    </xf>
    <xf numFmtId="43" fontId="17" fillId="3" borderId="6" xfId="1" applyFont="1" applyFill="1" applyBorder="1"/>
    <xf numFmtId="4" fontId="17" fillId="0" borderId="0" xfId="0" applyNumberFormat="1" applyFont="1"/>
    <xf numFmtId="0" fontId="25" fillId="2" borderId="0" xfId="0" applyFont="1" applyFill="1"/>
    <xf numFmtId="164" fontId="9" fillId="4" borderId="2" xfId="1" applyNumberFormat="1" applyFont="1" applyFill="1" applyBorder="1" applyAlignment="1">
      <alignment horizontal="right" vertical="center" wrapText="1" indent="1"/>
    </xf>
    <xf numFmtId="0" fontId="12" fillId="0" borderId="7" xfId="0" applyFont="1" applyBorder="1"/>
  </cellXfs>
  <cellStyles count="4">
    <cellStyle name="Comma" xfId="1" builtinId="3"/>
    <cellStyle name="Normal" xfId="0" builtinId="0"/>
    <cellStyle name="Normal_Project Accel Valuation v56" xfId="3" xr:uid="{5E91A352-0033-48E1-8284-BDDE5CEF883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38099</xdr:colOff>
      <xdr:row>0</xdr:row>
      <xdr:rowOff>99060</xdr:rowOff>
    </xdr:from>
    <xdr:to>
      <xdr:col>24</xdr:col>
      <xdr:colOff>197972</xdr:colOff>
      <xdr:row>19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B8A981-276D-AA5C-FBE5-3645E854F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99" y="99060"/>
          <a:ext cx="8694273" cy="3855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5FC0-CAD0-43EC-8B94-F9CF82C870E2}">
  <dimension ref="B12"/>
  <sheetViews>
    <sheetView tabSelected="1" workbookViewId="0"/>
  </sheetViews>
  <sheetFormatPr defaultRowHeight="14.4" x14ac:dyDescent="0.3"/>
  <cols>
    <col min="1" max="1" width="2.77734375" style="58" customWidth="1"/>
    <col min="2" max="16384" width="8.88671875" style="58"/>
  </cols>
  <sheetData>
    <row r="12" spans="2:2" ht="46.8" x14ac:dyDescent="0.9">
      <c r="B12" s="59" t="s">
        <v>117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D892-5318-4457-98EA-1419BBA737B1}">
  <dimension ref="B2:X40"/>
  <sheetViews>
    <sheetView showGridLines="0" workbookViewId="0"/>
  </sheetViews>
  <sheetFormatPr defaultRowHeight="15.6" x14ac:dyDescent="0.3"/>
  <cols>
    <col min="1" max="1" width="4.21875" style="1" customWidth="1"/>
    <col min="2" max="2" width="21.5546875" style="1" bestFit="1" customWidth="1"/>
    <col min="3" max="3" width="9.44140625" style="1" bestFit="1" customWidth="1"/>
    <col min="4" max="14" width="9.77734375" style="1" bestFit="1" customWidth="1"/>
    <col min="15" max="15" width="2.6640625" style="1" customWidth="1"/>
    <col min="16" max="17" width="9.5546875" style="1" bestFit="1" customWidth="1"/>
    <col min="18" max="18" width="13.88671875" style="1" bestFit="1" customWidth="1"/>
    <col min="19" max="19" width="2.88671875" style="1" customWidth="1"/>
    <col min="20" max="24" width="11.5546875" style="1" bestFit="1" customWidth="1"/>
    <col min="25" max="16384" width="8.88671875" style="1"/>
  </cols>
  <sheetData>
    <row r="2" spans="2:24" ht="32.4" x14ac:dyDescent="0.35">
      <c r="B2" s="52" t="s">
        <v>0</v>
      </c>
      <c r="P2" s="84" t="s">
        <v>136</v>
      </c>
      <c r="Q2" s="84" t="s">
        <v>136</v>
      </c>
      <c r="R2" s="86" t="s">
        <v>140</v>
      </c>
    </row>
    <row r="3" spans="2:24" s="4" customFormat="1" ht="16.8" thickBot="1" x14ac:dyDescent="0.35">
      <c r="B3" s="26"/>
      <c r="C3" s="27">
        <v>42064</v>
      </c>
      <c r="D3" s="27">
        <v>42430</v>
      </c>
      <c r="E3" s="27">
        <v>42795</v>
      </c>
      <c r="F3" s="27">
        <v>43160</v>
      </c>
      <c r="G3" s="27">
        <v>43525</v>
      </c>
      <c r="H3" s="27">
        <v>43891</v>
      </c>
      <c r="I3" s="27">
        <v>44256</v>
      </c>
      <c r="J3" s="27">
        <v>44621</v>
      </c>
      <c r="K3" s="27">
        <v>44986</v>
      </c>
      <c r="L3" s="27">
        <v>45352</v>
      </c>
      <c r="M3" s="27">
        <v>45717</v>
      </c>
      <c r="N3" s="27">
        <v>46082</v>
      </c>
      <c r="P3" s="27" t="s">
        <v>137</v>
      </c>
      <c r="Q3" s="27" t="s">
        <v>138</v>
      </c>
      <c r="R3" s="27" t="s">
        <v>139</v>
      </c>
      <c r="T3" s="27">
        <v>46447</v>
      </c>
      <c r="U3" s="27">
        <v>46813</v>
      </c>
      <c r="V3" s="27">
        <v>47178</v>
      </c>
      <c r="W3" s="27">
        <v>47543</v>
      </c>
      <c r="X3" s="27">
        <v>47908</v>
      </c>
    </row>
    <row r="4" spans="2:24" ht="16.2" x14ac:dyDescent="0.35">
      <c r="B4" s="11" t="s">
        <v>19</v>
      </c>
      <c r="C4" s="12">
        <v>94648</v>
      </c>
      <c r="D4" s="12">
        <v>108646</v>
      </c>
      <c r="E4" s="12">
        <v>117966</v>
      </c>
      <c r="F4" s="12">
        <v>123104</v>
      </c>
      <c r="G4" s="12">
        <v>146463</v>
      </c>
      <c r="H4" s="12">
        <v>156949</v>
      </c>
      <c r="I4" s="12">
        <v>164177</v>
      </c>
      <c r="J4" s="12">
        <v>191754</v>
      </c>
      <c r="K4" s="12">
        <v>225458</v>
      </c>
      <c r="L4" s="12">
        <v>240893</v>
      </c>
      <c r="M4" s="12">
        <v>255324</v>
      </c>
      <c r="N4" s="12">
        <v>267021</v>
      </c>
      <c r="P4" s="75">
        <f>(N4-M4)/M4</f>
        <v>4.5812379564788272E-2</v>
      </c>
      <c r="Q4" s="75">
        <f>(M4-L4)/L4</f>
        <v>5.9906265437351856E-2</v>
      </c>
      <c r="R4" s="82">
        <f>AVERAGE(P4:Q4)</f>
        <v>5.2859322501070061E-2</v>
      </c>
      <c r="T4" s="87">
        <f>N4*(1+R4)</f>
        <v>281135.54915355821</v>
      </c>
      <c r="U4" s="87">
        <f>T4*(1+$R$4)</f>
        <v>295996.18381278159</v>
      </c>
      <c r="V4" s="87">
        <f t="shared" ref="V4:X4" si="0">U4*(1+$R$4)</f>
        <v>311642.34155202744</v>
      </c>
      <c r="W4" s="87">
        <f t="shared" si="0"/>
        <v>328115.54458911467</v>
      </c>
      <c r="X4" s="87">
        <f t="shared" si="0"/>
        <v>345459.50997816492</v>
      </c>
    </row>
    <row r="5" spans="2:24" ht="16.2" x14ac:dyDescent="0.35">
      <c r="B5" s="11" t="s">
        <v>20</v>
      </c>
      <c r="C5" s="12">
        <v>70167</v>
      </c>
      <c r="D5" s="12">
        <v>77969</v>
      </c>
      <c r="E5" s="12">
        <v>85655</v>
      </c>
      <c r="F5" s="12">
        <v>90588</v>
      </c>
      <c r="G5" s="12">
        <v>106957</v>
      </c>
      <c r="H5" s="12">
        <v>114840</v>
      </c>
      <c r="I5" s="12">
        <v>117631</v>
      </c>
      <c r="J5" s="12">
        <v>138697</v>
      </c>
      <c r="K5" s="12">
        <v>166199</v>
      </c>
      <c r="L5" s="12">
        <v>176597</v>
      </c>
      <c r="M5" s="12">
        <v>187917</v>
      </c>
      <c r="N5" s="12">
        <v>194623</v>
      </c>
      <c r="P5" s="75">
        <f>(N5-M5)/M5</f>
        <v>3.5685967741077178E-2</v>
      </c>
      <c r="Q5" s="75">
        <f>(M5-L5)/L5</f>
        <v>6.4100749163349319E-2</v>
      </c>
      <c r="R5" s="82">
        <f t="shared" ref="R5:R14" si="1">AVERAGE(P5:Q5)</f>
        <v>4.9893358452213252E-2</v>
      </c>
      <c r="T5" s="87">
        <f t="shared" ref="T5:T14" si="2">N5*(1+R5)</f>
        <v>204333.39510204509</v>
      </c>
      <c r="U5" s="87">
        <f>T5*(1+$R$5)</f>
        <v>214528.27442762913</v>
      </c>
      <c r="V5" s="87">
        <f t="shared" ref="V5:X5" si="3">U5*(1+$R$5)</f>
        <v>225231.81052178159</v>
      </c>
      <c r="W5" s="87">
        <f t="shared" si="3"/>
        <v>236469.3819789858</v>
      </c>
      <c r="X5" s="87">
        <f t="shared" si="3"/>
        <v>248267.63361703666</v>
      </c>
    </row>
    <row r="6" spans="2:24" ht="16.8" thickBot="1" x14ac:dyDescent="0.4">
      <c r="B6" s="13" t="s">
        <v>1</v>
      </c>
      <c r="C6" s="14">
        <v>24482</v>
      </c>
      <c r="D6" s="14">
        <v>30677</v>
      </c>
      <c r="E6" s="14">
        <v>32311</v>
      </c>
      <c r="F6" s="14">
        <v>32516</v>
      </c>
      <c r="G6" s="14">
        <v>39506</v>
      </c>
      <c r="H6" s="14">
        <v>42109</v>
      </c>
      <c r="I6" s="14">
        <v>46546</v>
      </c>
      <c r="J6" s="14">
        <v>53057</v>
      </c>
      <c r="K6" s="14">
        <v>59259</v>
      </c>
      <c r="L6" s="14">
        <v>64296</v>
      </c>
      <c r="M6" s="14">
        <v>67407</v>
      </c>
      <c r="N6" s="14">
        <v>72398</v>
      </c>
      <c r="P6" s="75">
        <f t="shared" ref="P6:P14" si="4">(N6-M6)/M6</f>
        <v>7.404275520346551E-2</v>
      </c>
      <c r="Q6" s="75">
        <f t="shared" ref="Q6:Q14" si="5">(M6-L6)/L6</f>
        <v>4.8385591638671149E-2</v>
      </c>
      <c r="R6" s="83">
        <f t="shared" si="1"/>
        <v>6.121417342106833E-2</v>
      </c>
      <c r="T6" s="88">
        <f t="shared" si="2"/>
        <v>76829.783727338494</v>
      </c>
      <c r="U6" s="88">
        <f>T6*(1+$R$6)</f>
        <v>81532.855432326964</v>
      </c>
      <c r="V6" s="88">
        <f t="shared" ref="V6:X6" si="6">U6*(1+$R$6)</f>
        <v>86523.821784276312</v>
      </c>
      <c r="W6" s="88">
        <f t="shared" si="6"/>
        <v>91820.306016032613</v>
      </c>
      <c r="X6" s="88">
        <f t="shared" si="6"/>
        <v>97441.010152073592</v>
      </c>
    </row>
    <row r="7" spans="2:24" ht="16.2" x14ac:dyDescent="0.35">
      <c r="B7" s="11" t="s">
        <v>2</v>
      </c>
      <c r="C7" s="15">
        <v>0.26</v>
      </c>
      <c r="D7" s="15">
        <v>0.28000000000000003</v>
      </c>
      <c r="E7" s="15">
        <v>0.27</v>
      </c>
      <c r="F7" s="15">
        <v>0.26</v>
      </c>
      <c r="G7" s="15">
        <v>0.27</v>
      </c>
      <c r="H7" s="15">
        <v>0.27</v>
      </c>
      <c r="I7" s="15">
        <v>0.28000000000000003</v>
      </c>
      <c r="J7" s="15">
        <v>0.28000000000000003</v>
      </c>
      <c r="K7" s="15">
        <v>0.26</v>
      </c>
      <c r="L7" s="15">
        <v>0.27</v>
      </c>
      <c r="M7" s="15">
        <v>0.26</v>
      </c>
      <c r="N7" s="15">
        <v>0.27</v>
      </c>
      <c r="P7" s="75"/>
      <c r="Q7" s="75"/>
      <c r="R7" s="82"/>
      <c r="T7" s="87"/>
      <c r="U7" s="87"/>
      <c r="V7" s="87"/>
      <c r="W7" s="87"/>
      <c r="X7" s="87"/>
    </row>
    <row r="8" spans="2:24" ht="16.2" x14ac:dyDescent="0.35">
      <c r="B8" s="11" t="s">
        <v>21</v>
      </c>
      <c r="C8" s="12">
        <v>3720</v>
      </c>
      <c r="D8" s="12">
        <v>3084</v>
      </c>
      <c r="E8" s="12">
        <v>4221</v>
      </c>
      <c r="F8" s="12">
        <v>3642</v>
      </c>
      <c r="G8" s="12">
        <v>4311</v>
      </c>
      <c r="H8" s="12">
        <v>4592</v>
      </c>
      <c r="I8" s="12">
        <v>1916</v>
      </c>
      <c r="J8" s="12">
        <v>4018</v>
      </c>
      <c r="K8" s="12">
        <v>3449</v>
      </c>
      <c r="L8" s="12">
        <v>3464</v>
      </c>
      <c r="M8" s="12">
        <v>3962</v>
      </c>
      <c r="N8" s="16">
        <v>-124</v>
      </c>
      <c r="P8" s="75">
        <f t="shared" si="4"/>
        <v>-1.0312973245835437</v>
      </c>
      <c r="Q8" s="75">
        <f t="shared" si="5"/>
        <v>0.14376443418013857</v>
      </c>
      <c r="R8" s="82">
        <f t="shared" si="1"/>
        <v>-0.44376644520170261</v>
      </c>
      <c r="T8" s="87">
        <f t="shared" si="2"/>
        <v>-68.972960794988879</v>
      </c>
      <c r="U8" s="87">
        <f>T8*(1+$R$8)</f>
        <v>-38.365075167960264</v>
      </c>
      <c r="V8" s="87">
        <f t="shared" ref="V8:X8" si="7">U8*(1+$R$8)</f>
        <v>-21.339942140778422</v>
      </c>
      <c r="W8" s="87">
        <f t="shared" si="7"/>
        <v>-11.86999187615517</v>
      </c>
      <c r="X8" s="87">
        <f t="shared" si="7"/>
        <v>-6.602487776700702</v>
      </c>
    </row>
    <row r="9" spans="2:24" ht="16.2" x14ac:dyDescent="0.35">
      <c r="B9" s="11" t="s">
        <v>3</v>
      </c>
      <c r="C9" s="16">
        <v>104</v>
      </c>
      <c r="D9" s="16">
        <v>33</v>
      </c>
      <c r="E9" s="16">
        <v>32</v>
      </c>
      <c r="F9" s="16">
        <v>52</v>
      </c>
      <c r="G9" s="16">
        <v>198</v>
      </c>
      <c r="H9" s="16">
        <v>924</v>
      </c>
      <c r="I9" s="16">
        <v>637</v>
      </c>
      <c r="J9" s="16">
        <v>784</v>
      </c>
      <c r="K9" s="16">
        <v>779</v>
      </c>
      <c r="L9" s="16">
        <v>778</v>
      </c>
      <c r="M9" s="16">
        <v>796</v>
      </c>
      <c r="N9" s="12">
        <v>1227</v>
      </c>
      <c r="P9" s="75">
        <f t="shared" si="4"/>
        <v>0.54145728643216084</v>
      </c>
      <c r="Q9" s="75">
        <f t="shared" si="5"/>
        <v>2.313624678663239E-2</v>
      </c>
      <c r="R9" s="82">
        <f t="shared" si="1"/>
        <v>0.28229676660939662</v>
      </c>
      <c r="T9" s="87">
        <f t="shared" si="2"/>
        <v>1573.3781326297294</v>
      </c>
      <c r="U9" s="87">
        <f>T9*(1+$R$9)</f>
        <v>2017.5376921250322</v>
      </c>
      <c r="V9" s="87">
        <f t="shared" ref="V9:X9" si="8">U9*(1+$R$9)</f>
        <v>2587.0820591245129</v>
      </c>
      <c r="W9" s="87">
        <f t="shared" si="8"/>
        <v>3317.4069593685422</v>
      </c>
      <c r="X9" s="87">
        <f t="shared" si="8"/>
        <v>4253.900217525791</v>
      </c>
    </row>
    <row r="10" spans="2:24" ht="16.2" x14ac:dyDescent="0.35">
      <c r="B10" s="11" t="s">
        <v>4</v>
      </c>
      <c r="C10" s="12">
        <v>1799</v>
      </c>
      <c r="D10" s="12">
        <v>1888</v>
      </c>
      <c r="E10" s="12">
        <v>1987</v>
      </c>
      <c r="F10" s="12">
        <v>2014</v>
      </c>
      <c r="G10" s="12">
        <v>2056</v>
      </c>
      <c r="H10" s="12">
        <v>3529</v>
      </c>
      <c r="I10" s="12">
        <v>4065</v>
      </c>
      <c r="J10" s="12">
        <v>4604</v>
      </c>
      <c r="K10" s="12">
        <v>5022</v>
      </c>
      <c r="L10" s="12">
        <v>4985</v>
      </c>
      <c r="M10" s="12">
        <v>5242</v>
      </c>
      <c r="N10" s="12">
        <v>5560</v>
      </c>
      <c r="P10" s="75">
        <f t="shared" si="4"/>
        <v>6.0663868752384588E-2</v>
      </c>
      <c r="Q10" s="75">
        <f t="shared" si="5"/>
        <v>5.1554663991975926E-2</v>
      </c>
      <c r="R10" s="82">
        <f t="shared" si="1"/>
        <v>5.6109266372180257E-2</v>
      </c>
      <c r="T10" s="87">
        <f t="shared" si="2"/>
        <v>5871.9675210293226</v>
      </c>
      <c r="U10" s="87">
        <f>T10*(1+$R$10)</f>
        <v>6201.4393107955484</v>
      </c>
      <c r="V10" s="87">
        <f t="shared" ref="V10:X10" si="9">U10*(1+$R$10)</f>
        <v>6549.3975209758855</v>
      </c>
      <c r="W10" s="87">
        <f t="shared" si="9"/>
        <v>6916.8794110576191</v>
      </c>
      <c r="X10" s="87">
        <f t="shared" si="9"/>
        <v>7304.9804403969001</v>
      </c>
    </row>
    <row r="11" spans="2:24" ht="16.8" thickBot="1" x14ac:dyDescent="0.4">
      <c r="B11" s="17" t="s">
        <v>5</v>
      </c>
      <c r="C11" s="18">
        <v>26298</v>
      </c>
      <c r="D11" s="18">
        <v>31840</v>
      </c>
      <c r="E11" s="18">
        <v>34513</v>
      </c>
      <c r="F11" s="18">
        <v>34092</v>
      </c>
      <c r="G11" s="18">
        <v>41563</v>
      </c>
      <c r="H11" s="18">
        <v>42248</v>
      </c>
      <c r="I11" s="18">
        <v>43760</v>
      </c>
      <c r="J11" s="18">
        <v>51687</v>
      </c>
      <c r="K11" s="18">
        <v>56907</v>
      </c>
      <c r="L11" s="18">
        <v>61997</v>
      </c>
      <c r="M11" s="18">
        <v>65331</v>
      </c>
      <c r="N11" s="18">
        <v>65487</v>
      </c>
      <c r="P11" s="75">
        <f t="shared" si="4"/>
        <v>2.387840382054461E-3</v>
      </c>
      <c r="Q11" s="75">
        <f t="shared" si="5"/>
        <v>5.377679565140249E-2</v>
      </c>
      <c r="R11" s="83">
        <f t="shared" si="1"/>
        <v>2.8082318016728475E-2</v>
      </c>
      <c r="T11" s="88">
        <f t="shared" si="2"/>
        <v>67326.026759961489</v>
      </c>
      <c r="U11" s="88">
        <f>T11*(1+$R$11)</f>
        <v>69216.69765423749</v>
      </c>
      <c r="V11" s="88">
        <f t="shared" ref="V11:X11" si="10">U11*(1+$R$11)</f>
        <v>71160.462969831526</v>
      </c>
      <c r="W11" s="88">
        <f t="shared" si="10"/>
        <v>73158.813721167957</v>
      </c>
      <c r="X11" s="88">
        <f t="shared" si="10"/>
        <v>75213.282793812396</v>
      </c>
    </row>
    <row r="12" spans="2:24" ht="16.2" x14ac:dyDescent="0.35">
      <c r="B12" s="11" t="s">
        <v>6</v>
      </c>
      <c r="C12" s="15">
        <v>0.24</v>
      </c>
      <c r="D12" s="15">
        <v>0.24</v>
      </c>
      <c r="E12" s="15">
        <v>0.24</v>
      </c>
      <c r="F12" s="15">
        <v>0.24</v>
      </c>
      <c r="G12" s="15">
        <v>0.24</v>
      </c>
      <c r="H12" s="15">
        <v>0.23</v>
      </c>
      <c r="I12" s="15">
        <v>0.26</v>
      </c>
      <c r="J12" s="15">
        <v>0.26</v>
      </c>
      <c r="K12" s="15">
        <v>0.26</v>
      </c>
      <c r="L12" s="15">
        <v>0.26</v>
      </c>
      <c r="M12" s="15">
        <v>0.25</v>
      </c>
      <c r="N12" s="15">
        <v>0.24</v>
      </c>
      <c r="P12" s="75"/>
      <c r="Q12" s="75"/>
      <c r="R12" s="82"/>
      <c r="T12" s="87"/>
      <c r="U12" s="87"/>
      <c r="V12" s="87"/>
      <c r="W12" s="87"/>
      <c r="X12" s="87"/>
    </row>
    <row r="13" spans="2:24" ht="16.8" thickBot="1" x14ac:dyDescent="0.4">
      <c r="B13" s="17" t="s">
        <v>22</v>
      </c>
      <c r="C13" s="18">
        <v>20060</v>
      </c>
      <c r="D13" s="18">
        <v>24338</v>
      </c>
      <c r="E13" s="18">
        <v>26357</v>
      </c>
      <c r="F13" s="18">
        <v>25880</v>
      </c>
      <c r="G13" s="18">
        <v>31562</v>
      </c>
      <c r="H13" s="18">
        <v>32447</v>
      </c>
      <c r="I13" s="18">
        <v>32562</v>
      </c>
      <c r="J13" s="18">
        <v>38449</v>
      </c>
      <c r="K13" s="18">
        <v>42303</v>
      </c>
      <c r="L13" s="18">
        <v>46099</v>
      </c>
      <c r="M13" s="18">
        <v>48797</v>
      </c>
      <c r="N13" s="18">
        <v>49454</v>
      </c>
      <c r="P13" s="75">
        <f t="shared" si="4"/>
        <v>1.3463942455478821E-2</v>
      </c>
      <c r="Q13" s="75">
        <f t="shared" si="5"/>
        <v>5.8526215319204322E-2</v>
      </c>
      <c r="R13" s="83">
        <f t="shared" si="1"/>
        <v>3.5995078887341575E-2</v>
      </c>
      <c r="T13" s="88">
        <f t="shared" si="2"/>
        <v>51234.10063129459</v>
      </c>
      <c r="U13" s="88">
        <f>T13*(1+$R$13)</f>
        <v>53078.276125240038</v>
      </c>
      <c r="V13" s="88">
        <f t="shared" ref="V13:X13" si="11">U13*(1+$R$13)</f>
        <v>54988.832861572148</v>
      </c>
      <c r="W13" s="88">
        <f t="shared" si="11"/>
        <v>56968.160238347278</v>
      </c>
      <c r="X13" s="88">
        <f t="shared" si="11"/>
        <v>59018.733660193306</v>
      </c>
    </row>
    <row r="14" spans="2:24" ht="16.2" x14ac:dyDescent="0.35">
      <c r="B14" s="11" t="s">
        <v>7</v>
      </c>
      <c r="C14" s="16">
        <v>50.68</v>
      </c>
      <c r="D14" s="16">
        <v>61.58</v>
      </c>
      <c r="E14" s="16">
        <v>66.709999999999994</v>
      </c>
      <c r="F14" s="16">
        <v>67.459999999999994</v>
      </c>
      <c r="G14" s="16">
        <v>83.87</v>
      </c>
      <c r="H14" s="16">
        <v>86.19</v>
      </c>
      <c r="I14" s="16">
        <v>87.67</v>
      </c>
      <c r="J14" s="16">
        <v>104.75</v>
      </c>
      <c r="K14" s="16">
        <v>115.19</v>
      </c>
      <c r="L14" s="16">
        <v>126.88</v>
      </c>
      <c r="M14" s="16">
        <v>134.19999999999999</v>
      </c>
      <c r="N14" s="16">
        <v>136.01</v>
      </c>
      <c r="P14" s="75">
        <f t="shared" si="4"/>
        <v>1.3487332339791375E-2</v>
      </c>
      <c r="Q14" s="75">
        <f t="shared" si="5"/>
        <v>5.769230769230764E-2</v>
      </c>
      <c r="R14" s="82">
        <f t="shared" si="1"/>
        <v>3.558982001604951E-2</v>
      </c>
      <c r="T14" s="87">
        <f t="shared" si="2"/>
        <v>140.85057142038289</v>
      </c>
      <c r="U14" s="87">
        <f>T14*(1+$R$14)</f>
        <v>145.86341790639204</v>
      </c>
      <c r="V14" s="87">
        <f t="shared" ref="V14:X14" si="12">U14*(1+$R$14)</f>
        <v>151.05467069660637</v>
      </c>
      <c r="W14" s="87">
        <f t="shared" si="12"/>
        <v>156.43067923928223</v>
      </c>
      <c r="X14" s="87">
        <f t="shared" si="12"/>
        <v>161.99801895839667</v>
      </c>
    </row>
    <row r="15" spans="2:24" ht="16.2" x14ac:dyDescent="0.35">
      <c r="B15" s="11" t="s">
        <v>8</v>
      </c>
      <c r="C15" s="15">
        <v>0.78</v>
      </c>
      <c r="D15" s="15">
        <v>0.35</v>
      </c>
      <c r="E15" s="15">
        <v>0.35</v>
      </c>
      <c r="F15" s="15">
        <v>0.37</v>
      </c>
      <c r="G15" s="15">
        <v>0.36</v>
      </c>
      <c r="H15" s="15">
        <v>0.85</v>
      </c>
      <c r="I15" s="15">
        <v>0.43</v>
      </c>
      <c r="J15" s="15">
        <v>0.41</v>
      </c>
      <c r="K15" s="15">
        <v>1</v>
      </c>
      <c r="L15" s="15">
        <v>0.57999999999999996</v>
      </c>
      <c r="M15" s="15">
        <v>0.94</v>
      </c>
      <c r="N15" s="15">
        <v>0.81</v>
      </c>
      <c r="P15" s="75"/>
      <c r="Q15" s="75"/>
      <c r="R15" s="82"/>
      <c r="T15" s="85"/>
      <c r="U15" s="85"/>
      <c r="V15" s="85"/>
      <c r="W15" s="85"/>
      <c r="X15" s="85"/>
    </row>
    <row r="16" spans="2:24" x14ac:dyDescent="0.3"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4" x14ac:dyDescent="0.3"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4" ht="27.6" customHeight="1" x14ac:dyDescent="0.3">
      <c r="B18" s="123" t="s">
        <v>9</v>
      </c>
      <c r="C18" s="123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2:14" x14ac:dyDescent="0.3">
      <c r="B19" s="20" t="s">
        <v>10</v>
      </c>
      <c r="C19" s="21">
        <v>0.09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2:14" x14ac:dyDescent="0.3">
      <c r="B20" s="20" t="s">
        <v>11</v>
      </c>
      <c r="C20" s="21">
        <v>0.1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2:14" x14ac:dyDescent="0.3">
      <c r="B21" s="20" t="s">
        <v>12</v>
      </c>
      <c r="C21" s="21">
        <v>0.06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2:14" x14ac:dyDescent="0.3">
      <c r="B22" s="20" t="s">
        <v>13</v>
      </c>
      <c r="C22" s="21">
        <v>0.08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2:14" x14ac:dyDescent="0.3">
      <c r="B23" s="20"/>
      <c r="C23" s="2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2:14" ht="27.6" customHeight="1" x14ac:dyDescent="0.3">
      <c r="B24" s="123" t="s">
        <v>14</v>
      </c>
      <c r="C24" s="123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2:14" x14ac:dyDescent="0.3">
      <c r="B25" s="20" t="s">
        <v>10</v>
      </c>
      <c r="C25" s="21">
        <v>0.08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2:14" x14ac:dyDescent="0.3">
      <c r="B26" s="20" t="s">
        <v>11</v>
      </c>
      <c r="C26" s="21">
        <v>0.09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2:14" x14ac:dyDescent="0.3">
      <c r="B27" s="20" t="s">
        <v>12</v>
      </c>
      <c r="C27" s="21">
        <v>0.08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2:14" x14ac:dyDescent="0.3">
      <c r="B28" s="20" t="s">
        <v>13</v>
      </c>
      <c r="C28" s="21">
        <v>0.09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2:14" x14ac:dyDescent="0.3">
      <c r="B29" s="20"/>
      <c r="C29" s="2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2:14" ht="16.2" x14ac:dyDescent="0.3">
      <c r="B30" s="123" t="s">
        <v>15</v>
      </c>
      <c r="C30" s="123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2:14" x14ac:dyDescent="0.3">
      <c r="B31" s="20" t="s">
        <v>10</v>
      </c>
      <c r="C31" s="21">
        <v>0.06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2:14" x14ac:dyDescent="0.3">
      <c r="B32" s="20" t="s">
        <v>11</v>
      </c>
      <c r="C32" s="21">
        <v>-0.12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2:14" x14ac:dyDescent="0.3">
      <c r="B33" s="20" t="s">
        <v>12</v>
      </c>
      <c r="C33" s="21">
        <v>-0.16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2:14" x14ac:dyDescent="0.3">
      <c r="B34" s="20" t="s">
        <v>16</v>
      </c>
      <c r="C34" s="21">
        <v>-0.31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2:14" x14ac:dyDescent="0.3">
      <c r="B35" s="20"/>
      <c r="C35" s="21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2:14" ht="16.2" x14ac:dyDescent="0.3">
      <c r="B36" s="123" t="s">
        <v>17</v>
      </c>
      <c r="C36" s="123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2:14" x14ac:dyDescent="0.3">
      <c r="B37" s="20" t="s">
        <v>10</v>
      </c>
      <c r="C37" s="21">
        <v>0.43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2:14" x14ac:dyDescent="0.3">
      <c r="B38" s="20" t="s">
        <v>11</v>
      </c>
      <c r="C38" s="21">
        <v>0.49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2:14" x14ac:dyDescent="0.3">
      <c r="B39" s="20" t="s">
        <v>12</v>
      </c>
      <c r="C39" s="21">
        <v>0.52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2:14" x14ac:dyDescent="0.3">
      <c r="B40" s="20" t="s">
        <v>18</v>
      </c>
      <c r="C40" s="21">
        <v>0.52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</sheetData>
  <mergeCells count="4">
    <mergeCell ref="B18:C18"/>
    <mergeCell ref="B24:C24"/>
    <mergeCell ref="B30:C30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5541-894E-4BA1-BB35-48B688921178}">
  <dimension ref="B2:N28"/>
  <sheetViews>
    <sheetView zoomScaleNormal="100" workbookViewId="0"/>
  </sheetViews>
  <sheetFormatPr defaultRowHeight="14.4" x14ac:dyDescent="0.3"/>
  <cols>
    <col min="1" max="1" width="4.77734375" style="39" customWidth="1"/>
    <col min="2" max="2" width="22.44140625" style="51" bestFit="1" customWidth="1"/>
    <col min="3" max="3" width="9.88671875" style="39" bestFit="1" customWidth="1"/>
    <col min="4" max="14" width="11.5546875" style="39" bestFit="1" customWidth="1"/>
    <col min="15" max="15" width="8.88671875" style="39"/>
    <col min="16" max="18" width="9.44140625" style="39" bestFit="1" customWidth="1"/>
    <col min="19" max="16384" width="8.88671875" style="39"/>
  </cols>
  <sheetData>
    <row r="2" spans="2:14" ht="36" x14ac:dyDescent="0.3">
      <c r="B2" s="53" t="s">
        <v>108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2:14" s="50" customFormat="1" ht="16.8" thickBot="1" x14ac:dyDescent="0.35">
      <c r="B3" s="33"/>
      <c r="C3" s="27">
        <v>42064</v>
      </c>
      <c r="D3" s="27">
        <v>42430</v>
      </c>
      <c r="E3" s="27">
        <v>42795</v>
      </c>
      <c r="F3" s="27">
        <v>43160</v>
      </c>
      <c r="G3" s="27">
        <v>43525</v>
      </c>
      <c r="H3" s="27">
        <v>43891</v>
      </c>
      <c r="I3" s="27">
        <v>44256</v>
      </c>
      <c r="J3" s="27">
        <v>44621</v>
      </c>
      <c r="K3" s="27">
        <v>44986</v>
      </c>
      <c r="L3" s="27">
        <v>45352</v>
      </c>
      <c r="M3" s="27">
        <v>45717</v>
      </c>
      <c r="N3" s="27">
        <v>46082</v>
      </c>
    </row>
    <row r="4" spans="2:14" ht="15.6" x14ac:dyDescent="0.3">
      <c r="B4" s="44" t="s">
        <v>19</v>
      </c>
      <c r="C4" s="42">
        <v>94648</v>
      </c>
      <c r="D4" s="42">
        <v>108646</v>
      </c>
      <c r="E4" s="42">
        <v>117966</v>
      </c>
      <c r="F4" s="42">
        <v>123104</v>
      </c>
      <c r="G4" s="42">
        <v>146463</v>
      </c>
      <c r="H4" s="42">
        <v>156949</v>
      </c>
      <c r="I4" s="42">
        <v>164177</v>
      </c>
      <c r="J4" s="42">
        <v>191754</v>
      </c>
      <c r="K4" s="42">
        <v>225458</v>
      </c>
      <c r="L4" s="42">
        <v>240893</v>
      </c>
      <c r="M4" s="42">
        <v>255324</v>
      </c>
      <c r="N4" s="42">
        <v>267021</v>
      </c>
    </row>
    <row r="5" spans="2:14" ht="16.2" thickBot="1" x14ac:dyDescent="0.35">
      <c r="B5" s="34" t="s">
        <v>95</v>
      </c>
      <c r="C5" s="49">
        <v>0.15690000000000001</v>
      </c>
      <c r="D5" s="49">
        <v>0.1479</v>
      </c>
      <c r="E5" s="49">
        <v>8.5800000000000001E-2</v>
      </c>
      <c r="F5" s="49">
        <v>4.36E-2</v>
      </c>
      <c r="G5" s="49">
        <v>0.1898</v>
      </c>
      <c r="H5" s="49">
        <v>7.1599999999999997E-2</v>
      </c>
      <c r="I5" s="49">
        <v>4.6100000000000002E-2</v>
      </c>
      <c r="J5" s="49">
        <v>0.16800000000000001</v>
      </c>
      <c r="K5" s="49">
        <v>0.17580000000000001</v>
      </c>
      <c r="L5" s="49">
        <v>6.8500000000000005E-2</v>
      </c>
      <c r="M5" s="49">
        <v>5.9900000000000002E-2</v>
      </c>
      <c r="N5" s="49">
        <v>4.58E-2</v>
      </c>
    </row>
    <row r="6" spans="2:14" ht="15.6" x14ac:dyDescent="0.3">
      <c r="B6" s="44" t="s">
        <v>20</v>
      </c>
      <c r="C6" s="42">
        <v>70167</v>
      </c>
      <c r="D6" s="42">
        <v>77969</v>
      </c>
      <c r="E6" s="42">
        <v>85655</v>
      </c>
      <c r="F6" s="42">
        <v>90588</v>
      </c>
      <c r="G6" s="42">
        <v>106957</v>
      </c>
      <c r="H6" s="42">
        <v>114840</v>
      </c>
      <c r="I6" s="42">
        <v>117631</v>
      </c>
      <c r="J6" s="42">
        <v>138697</v>
      </c>
      <c r="K6" s="42">
        <v>166199</v>
      </c>
      <c r="L6" s="42">
        <v>176597</v>
      </c>
      <c r="M6" s="42">
        <v>187917</v>
      </c>
      <c r="N6" s="42">
        <v>194623</v>
      </c>
    </row>
    <row r="7" spans="2:14" ht="15.6" x14ac:dyDescent="0.3">
      <c r="B7" s="34" t="s">
        <v>107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</row>
    <row r="8" spans="2:14" ht="15.6" x14ac:dyDescent="0.3">
      <c r="B8" s="34" t="s">
        <v>96</v>
      </c>
      <c r="C8" s="31">
        <v>0.26</v>
      </c>
      <c r="D8" s="31">
        <v>0.02</v>
      </c>
      <c r="E8" s="31">
        <v>0.02</v>
      </c>
      <c r="F8" s="31">
        <v>0.02</v>
      </c>
      <c r="G8" s="31">
        <v>0.02</v>
      </c>
      <c r="H8" s="31">
        <v>0.01</v>
      </c>
      <c r="I8" s="31">
        <v>0.01</v>
      </c>
      <c r="J8" s="31">
        <v>0.01</v>
      </c>
      <c r="K8" s="31">
        <v>0.01</v>
      </c>
      <c r="L8" s="31">
        <v>0.02</v>
      </c>
      <c r="M8" s="31">
        <v>0.05</v>
      </c>
      <c r="N8" s="31">
        <v>0.02</v>
      </c>
    </row>
    <row r="9" spans="2:14" ht="15.6" x14ac:dyDescent="0.3">
      <c r="B9" s="34" t="s">
        <v>97</v>
      </c>
      <c r="C9" s="31">
        <v>0.41</v>
      </c>
      <c r="D9" s="31">
        <v>0.51</v>
      </c>
      <c r="E9" s="31">
        <v>0.52</v>
      </c>
      <c r="F9" s="31">
        <v>0.54</v>
      </c>
      <c r="G9" s="31">
        <v>0.53</v>
      </c>
      <c r="H9" s="31">
        <v>0.55000000000000004</v>
      </c>
      <c r="I9" s="31">
        <v>0.56000000000000005</v>
      </c>
      <c r="J9" s="31">
        <v>0.56000000000000005</v>
      </c>
      <c r="K9" s="31">
        <v>0.56999999999999995</v>
      </c>
      <c r="L9" s="31">
        <v>0.57999999999999996</v>
      </c>
      <c r="M9" s="31">
        <v>0.56999999999999995</v>
      </c>
      <c r="N9" s="31">
        <v>0.57999999999999996</v>
      </c>
    </row>
    <row r="10" spans="2:14" ht="15.6" x14ac:dyDescent="0.3">
      <c r="B10" s="34" t="s">
        <v>98</v>
      </c>
      <c r="C10" s="31">
        <v>7.0000000000000007E-2</v>
      </c>
      <c r="D10" s="31">
        <v>0.18</v>
      </c>
      <c r="E10" s="31">
        <v>0.18</v>
      </c>
      <c r="F10" s="31">
        <v>0.17</v>
      </c>
      <c r="G10" s="31">
        <v>0.18</v>
      </c>
      <c r="H10" s="31">
        <v>0.17</v>
      </c>
      <c r="I10" s="31">
        <v>0.15</v>
      </c>
      <c r="J10" s="31">
        <v>0.16</v>
      </c>
      <c r="K10" s="31">
        <v>0.16</v>
      </c>
      <c r="L10" s="31">
        <v>0.14000000000000001</v>
      </c>
      <c r="M10" s="31">
        <v>0.12</v>
      </c>
      <c r="N10" s="31">
        <v>0.13</v>
      </c>
    </row>
    <row r="11" spans="2:14" ht="16.2" thickBot="1" x14ac:dyDescent="0.35">
      <c r="B11" s="48" t="s">
        <v>1</v>
      </c>
      <c r="C11" s="10">
        <v>24482</v>
      </c>
      <c r="D11" s="10">
        <v>30677</v>
      </c>
      <c r="E11" s="10">
        <v>32311</v>
      </c>
      <c r="F11" s="10">
        <v>32516</v>
      </c>
      <c r="G11" s="10">
        <v>39506</v>
      </c>
      <c r="H11" s="10">
        <v>42109</v>
      </c>
      <c r="I11" s="10">
        <v>46546</v>
      </c>
      <c r="J11" s="10">
        <v>53057</v>
      </c>
      <c r="K11" s="10">
        <v>59259</v>
      </c>
      <c r="L11" s="10">
        <v>64296</v>
      </c>
      <c r="M11" s="10">
        <v>67407</v>
      </c>
      <c r="N11" s="10">
        <v>72398</v>
      </c>
    </row>
    <row r="12" spans="2:14" ht="16.2" thickBot="1" x14ac:dyDescent="0.35">
      <c r="B12" s="34" t="s">
        <v>2</v>
      </c>
      <c r="C12" s="31">
        <v>0.26</v>
      </c>
      <c r="D12" s="31">
        <v>0.28000000000000003</v>
      </c>
      <c r="E12" s="31">
        <v>0.27</v>
      </c>
      <c r="F12" s="31">
        <v>0.26</v>
      </c>
      <c r="G12" s="31">
        <v>0.27</v>
      </c>
      <c r="H12" s="31">
        <v>0.27</v>
      </c>
      <c r="I12" s="31">
        <v>0.28000000000000003</v>
      </c>
      <c r="J12" s="31">
        <v>0.28000000000000003</v>
      </c>
      <c r="K12" s="31">
        <v>0.26</v>
      </c>
      <c r="L12" s="31">
        <v>0.27</v>
      </c>
      <c r="M12" s="31">
        <v>0.26</v>
      </c>
      <c r="N12" s="31">
        <v>0.27</v>
      </c>
    </row>
    <row r="13" spans="2:14" ht="15.6" x14ac:dyDescent="0.3">
      <c r="B13" s="44" t="s">
        <v>21</v>
      </c>
      <c r="C13" s="42">
        <v>3720</v>
      </c>
      <c r="D13" s="42">
        <v>3084</v>
      </c>
      <c r="E13" s="42">
        <v>4221</v>
      </c>
      <c r="F13" s="42">
        <v>3642</v>
      </c>
      <c r="G13" s="42">
        <v>4311</v>
      </c>
      <c r="H13" s="42">
        <v>4592</v>
      </c>
      <c r="I13" s="42">
        <v>1916</v>
      </c>
      <c r="J13" s="42">
        <v>4018</v>
      </c>
      <c r="K13" s="42">
        <v>3449</v>
      </c>
      <c r="L13" s="42">
        <v>3464</v>
      </c>
      <c r="M13" s="42">
        <v>3962</v>
      </c>
      <c r="N13" s="41">
        <v>-124</v>
      </c>
    </row>
    <row r="14" spans="2:14" ht="15.6" x14ac:dyDescent="0.3">
      <c r="B14" s="34" t="s">
        <v>99</v>
      </c>
      <c r="C14" s="7">
        <v>725</v>
      </c>
      <c r="D14" s="7">
        <v>470</v>
      </c>
      <c r="E14" s="7">
        <v>12</v>
      </c>
      <c r="F14" s="7">
        <v>225</v>
      </c>
      <c r="G14" s="7">
        <v>84</v>
      </c>
      <c r="H14" s="7">
        <v>60</v>
      </c>
      <c r="I14" s="8">
        <v>-1205</v>
      </c>
      <c r="J14" s="7">
        <v>23</v>
      </c>
      <c r="K14" s="7">
        <v>30</v>
      </c>
      <c r="L14" s="7">
        <v>-933</v>
      </c>
      <c r="M14" s="7">
        <v>31</v>
      </c>
      <c r="N14" s="8">
        <v>-4176</v>
      </c>
    </row>
    <row r="15" spans="2:14" ht="15.6" x14ac:dyDescent="0.3">
      <c r="B15" s="34" t="s">
        <v>100</v>
      </c>
      <c r="C15" s="8">
        <v>2994</v>
      </c>
      <c r="D15" s="8">
        <v>2614</v>
      </c>
      <c r="E15" s="8">
        <v>4209</v>
      </c>
      <c r="F15" s="8">
        <v>3417</v>
      </c>
      <c r="G15" s="8">
        <v>4227</v>
      </c>
      <c r="H15" s="8">
        <v>4532</v>
      </c>
      <c r="I15" s="8">
        <v>3121</v>
      </c>
      <c r="J15" s="8">
        <v>3995</v>
      </c>
      <c r="K15" s="8">
        <v>3419</v>
      </c>
      <c r="L15" s="8">
        <v>4397</v>
      </c>
      <c r="M15" s="8">
        <v>3931</v>
      </c>
      <c r="N15" s="8">
        <v>4052</v>
      </c>
    </row>
    <row r="16" spans="2:14" ht="15.6" x14ac:dyDescent="0.3">
      <c r="B16" s="34" t="s">
        <v>3</v>
      </c>
      <c r="C16" s="7">
        <v>104</v>
      </c>
      <c r="D16" s="7">
        <v>33</v>
      </c>
      <c r="E16" s="7">
        <v>32</v>
      </c>
      <c r="F16" s="7">
        <v>52</v>
      </c>
      <c r="G16" s="7">
        <v>198</v>
      </c>
      <c r="H16" s="7">
        <v>924</v>
      </c>
      <c r="I16" s="7">
        <v>637</v>
      </c>
      <c r="J16" s="7">
        <v>784</v>
      </c>
      <c r="K16" s="7">
        <v>779</v>
      </c>
      <c r="L16" s="7">
        <v>778</v>
      </c>
      <c r="M16" s="7">
        <v>796</v>
      </c>
      <c r="N16" s="8">
        <v>1227</v>
      </c>
    </row>
    <row r="17" spans="2:14" ht="15.6" x14ac:dyDescent="0.3">
      <c r="B17" s="34" t="s">
        <v>4</v>
      </c>
      <c r="C17" s="8">
        <v>1799</v>
      </c>
      <c r="D17" s="8">
        <v>1888</v>
      </c>
      <c r="E17" s="8">
        <v>1987</v>
      </c>
      <c r="F17" s="8">
        <v>2014</v>
      </c>
      <c r="G17" s="8">
        <v>2056</v>
      </c>
      <c r="H17" s="8">
        <v>3529</v>
      </c>
      <c r="I17" s="8">
        <v>4065</v>
      </c>
      <c r="J17" s="8">
        <v>4604</v>
      </c>
      <c r="K17" s="8">
        <v>5022</v>
      </c>
      <c r="L17" s="8">
        <v>4985</v>
      </c>
      <c r="M17" s="8">
        <v>5242</v>
      </c>
      <c r="N17" s="8">
        <v>5560</v>
      </c>
    </row>
    <row r="18" spans="2:14" ht="16.2" thickBot="1" x14ac:dyDescent="0.35">
      <c r="B18" s="48" t="s">
        <v>5</v>
      </c>
      <c r="C18" s="10">
        <v>26298</v>
      </c>
      <c r="D18" s="10">
        <v>31840</v>
      </c>
      <c r="E18" s="10">
        <v>34513</v>
      </c>
      <c r="F18" s="10">
        <v>34092</v>
      </c>
      <c r="G18" s="10">
        <v>41563</v>
      </c>
      <c r="H18" s="10">
        <v>42248</v>
      </c>
      <c r="I18" s="10">
        <v>43760</v>
      </c>
      <c r="J18" s="10">
        <v>51687</v>
      </c>
      <c r="K18" s="10">
        <v>56907</v>
      </c>
      <c r="L18" s="10">
        <v>61997</v>
      </c>
      <c r="M18" s="10">
        <v>65331</v>
      </c>
      <c r="N18" s="10">
        <v>65487</v>
      </c>
    </row>
    <row r="19" spans="2:14" ht="15.6" x14ac:dyDescent="0.3">
      <c r="B19" s="34" t="s">
        <v>6</v>
      </c>
      <c r="C19" s="31">
        <v>0.24</v>
      </c>
      <c r="D19" s="31">
        <v>0.24</v>
      </c>
      <c r="E19" s="31">
        <v>0.24</v>
      </c>
      <c r="F19" s="31">
        <v>0.24</v>
      </c>
      <c r="G19" s="31">
        <v>0.24</v>
      </c>
      <c r="H19" s="31">
        <v>0.23</v>
      </c>
      <c r="I19" s="31">
        <v>0.26</v>
      </c>
      <c r="J19" s="31">
        <v>0.26</v>
      </c>
      <c r="K19" s="31">
        <v>0.26</v>
      </c>
      <c r="L19" s="31">
        <v>0.26</v>
      </c>
      <c r="M19" s="31">
        <v>0.25</v>
      </c>
      <c r="N19" s="31">
        <v>0.24</v>
      </c>
    </row>
    <row r="20" spans="2:14" ht="16.2" thickBot="1" x14ac:dyDescent="0.35">
      <c r="B20" s="48" t="s">
        <v>22</v>
      </c>
      <c r="C20" s="10">
        <v>20060</v>
      </c>
      <c r="D20" s="10">
        <v>24338</v>
      </c>
      <c r="E20" s="10">
        <v>26357</v>
      </c>
      <c r="F20" s="10">
        <v>25880</v>
      </c>
      <c r="G20" s="10">
        <v>31562</v>
      </c>
      <c r="H20" s="10">
        <v>32447</v>
      </c>
      <c r="I20" s="10">
        <v>32562</v>
      </c>
      <c r="J20" s="10">
        <v>38449</v>
      </c>
      <c r="K20" s="10">
        <v>42303</v>
      </c>
      <c r="L20" s="10">
        <v>46099</v>
      </c>
      <c r="M20" s="10">
        <v>48797</v>
      </c>
      <c r="N20" s="10">
        <v>49454</v>
      </c>
    </row>
    <row r="21" spans="2:14" ht="15.6" x14ac:dyDescent="0.3">
      <c r="B21" s="34" t="s">
        <v>101</v>
      </c>
      <c r="C21" s="7">
        <v>-208</v>
      </c>
      <c r="D21" s="7">
        <v>-68</v>
      </c>
      <c r="E21" s="7">
        <v>-68</v>
      </c>
      <c r="F21" s="7">
        <v>-54</v>
      </c>
      <c r="G21" s="7">
        <v>-90</v>
      </c>
      <c r="H21" s="7">
        <v>-107</v>
      </c>
      <c r="I21" s="7">
        <v>-132</v>
      </c>
      <c r="J21" s="7">
        <v>-122</v>
      </c>
      <c r="K21" s="7">
        <v>-156</v>
      </c>
      <c r="L21" s="7">
        <v>-191</v>
      </c>
      <c r="M21" s="7">
        <v>-244</v>
      </c>
      <c r="N21" s="7">
        <v>-244</v>
      </c>
    </row>
    <row r="22" spans="2:14" ht="15.6" x14ac:dyDescent="0.3">
      <c r="B22" s="34" t="s">
        <v>102</v>
      </c>
      <c r="C22" s="7">
        <v>552</v>
      </c>
      <c r="D22" s="7">
        <v>359</v>
      </c>
      <c r="E22" s="7">
        <v>9</v>
      </c>
      <c r="F22" s="7">
        <v>169</v>
      </c>
      <c r="G22" s="7">
        <v>63</v>
      </c>
      <c r="H22" s="7">
        <v>45</v>
      </c>
      <c r="I22" s="7">
        <v>-882</v>
      </c>
      <c r="J22" s="7">
        <v>17</v>
      </c>
      <c r="K22" s="7">
        <v>22</v>
      </c>
      <c r="L22" s="7">
        <v>-688</v>
      </c>
      <c r="M22" s="7">
        <v>39</v>
      </c>
      <c r="N22" s="8">
        <v>-3131</v>
      </c>
    </row>
    <row r="23" spans="2:14" ht="15.6" x14ac:dyDescent="0.3">
      <c r="B23" s="34" t="s">
        <v>103</v>
      </c>
      <c r="C23" s="8">
        <v>19507</v>
      </c>
      <c r="D23" s="8">
        <v>23979</v>
      </c>
      <c r="E23" s="8">
        <v>26348</v>
      </c>
      <c r="F23" s="8">
        <v>25711</v>
      </c>
      <c r="G23" s="8">
        <v>31499</v>
      </c>
      <c r="H23" s="8">
        <v>32402</v>
      </c>
      <c r="I23" s="8">
        <v>33444</v>
      </c>
      <c r="J23" s="8">
        <v>38432</v>
      </c>
      <c r="K23" s="8">
        <v>42281</v>
      </c>
      <c r="L23" s="8">
        <v>46787</v>
      </c>
      <c r="M23" s="8">
        <v>48758</v>
      </c>
      <c r="N23" s="8">
        <v>52585</v>
      </c>
    </row>
    <row r="24" spans="2:14" ht="15.6" x14ac:dyDescent="0.3">
      <c r="B24" s="34" t="s">
        <v>104</v>
      </c>
      <c r="C24" s="8">
        <v>19306</v>
      </c>
      <c r="D24" s="8">
        <v>23912</v>
      </c>
      <c r="E24" s="8">
        <v>26280</v>
      </c>
      <c r="F24" s="8">
        <v>25657</v>
      </c>
      <c r="G24" s="8">
        <v>31410</v>
      </c>
      <c r="H24" s="8">
        <v>32295</v>
      </c>
      <c r="I24" s="8">
        <v>33308</v>
      </c>
      <c r="J24" s="8">
        <v>38310</v>
      </c>
      <c r="K24" s="8">
        <v>42125</v>
      </c>
      <c r="L24" s="8">
        <v>46593</v>
      </c>
      <c r="M24" s="8">
        <v>48514</v>
      </c>
      <c r="N24" s="8">
        <v>52326</v>
      </c>
    </row>
    <row r="25" spans="2:14" ht="15.6" x14ac:dyDescent="0.3">
      <c r="B25" s="34" t="s">
        <v>105</v>
      </c>
      <c r="C25" s="8">
        <v>19852</v>
      </c>
      <c r="D25" s="8">
        <v>24270</v>
      </c>
      <c r="E25" s="8">
        <v>26289</v>
      </c>
      <c r="F25" s="8">
        <v>25826</v>
      </c>
      <c r="G25" s="8">
        <v>31472</v>
      </c>
      <c r="H25" s="8">
        <v>32340</v>
      </c>
      <c r="I25" s="8">
        <v>32430</v>
      </c>
      <c r="J25" s="8">
        <v>38327</v>
      </c>
      <c r="K25" s="8">
        <v>42147</v>
      </c>
      <c r="L25" s="8">
        <v>45908</v>
      </c>
      <c r="M25" s="8">
        <v>48553</v>
      </c>
      <c r="N25" s="8">
        <v>49210</v>
      </c>
    </row>
    <row r="26" spans="2:14" ht="15.6" x14ac:dyDescent="0.3">
      <c r="B26" s="34" t="s">
        <v>106</v>
      </c>
      <c r="C26" s="31">
        <v>0.01</v>
      </c>
      <c r="D26" s="31">
        <v>0.24</v>
      </c>
      <c r="E26" s="31">
        <v>0.1</v>
      </c>
      <c r="F26" s="31">
        <v>-0.02</v>
      </c>
      <c r="G26" s="31">
        <v>0.22</v>
      </c>
      <c r="H26" s="31">
        <v>0.03</v>
      </c>
      <c r="I26" s="31">
        <v>0.03</v>
      </c>
      <c r="J26" s="31">
        <v>0.15</v>
      </c>
      <c r="K26" s="31">
        <v>0.1</v>
      </c>
      <c r="L26" s="31">
        <v>0.11</v>
      </c>
      <c r="M26" s="31">
        <v>0.04</v>
      </c>
      <c r="N26" s="31">
        <v>0.08</v>
      </c>
    </row>
    <row r="27" spans="2:14" ht="15.6" x14ac:dyDescent="0.3">
      <c r="B27" s="34" t="s">
        <v>7</v>
      </c>
      <c r="C27" s="7">
        <v>50.68</v>
      </c>
      <c r="D27" s="7">
        <v>61.58</v>
      </c>
      <c r="E27" s="7">
        <v>66.709999999999994</v>
      </c>
      <c r="F27" s="7">
        <v>67.459999999999994</v>
      </c>
      <c r="G27" s="7">
        <v>83.87</v>
      </c>
      <c r="H27" s="7">
        <v>86.19</v>
      </c>
      <c r="I27" s="7">
        <v>87.67</v>
      </c>
      <c r="J27" s="7">
        <v>104.75</v>
      </c>
      <c r="K27" s="7">
        <v>115.19</v>
      </c>
      <c r="L27" s="7">
        <v>126.88</v>
      </c>
      <c r="M27" s="7">
        <v>134.19999999999999</v>
      </c>
      <c r="N27" s="7">
        <v>136.01</v>
      </c>
    </row>
    <row r="28" spans="2:14" ht="15.6" x14ac:dyDescent="0.3">
      <c r="B28" s="34" t="s">
        <v>8</v>
      </c>
      <c r="C28" s="31">
        <v>0.78</v>
      </c>
      <c r="D28" s="31">
        <v>0.35</v>
      </c>
      <c r="E28" s="31">
        <v>0.35</v>
      </c>
      <c r="F28" s="31">
        <v>0.37</v>
      </c>
      <c r="G28" s="31">
        <v>0.36</v>
      </c>
      <c r="H28" s="31">
        <v>0.85</v>
      </c>
      <c r="I28" s="31">
        <v>0.43</v>
      </c>
      <c r="J28" s="31">
        <v>0.41</v>
      </c>
      <c r="K28" s="31">
        <v>1</v>
      </c>
      <c r="L28" s="31">
        <v>0.57999999999999996</v>
      </c>
      <c r="M28" s="31">
        <v>0.94</v>
      </c>
      <c r="N28" s="31">
        <v>0.81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16EB-744F-49FB-8849-C3E51E5E9E10}">
  <dimension ref="B1:X13"/>
  <sheetViews>
    <sheetView showGridLines="0" workbookViewId="0"/>
  </sheetViews>
  <sheetFormatPr defaultRowHeight="15.6" x14ac:dyDescent="0.3"/>
  <cols>
    <col min="1" max="1" width="3.33203125" style="5" customWidth="1"/>
    <col min="2" max="2" width="20.21875" style="5" bestFit="1" customWidth="1"/>
    <col min="3" max="4" width="8.77734375" style="5" bestFit="1" customWidth="1"/>
    <col min="5" max="14" width="10.6640625" style="5" bestFit="1" customWidth="1"/>
    <col min="15" max="15" width="4.6640625" style="5" customWidth="1"/>
    <col min="16" max="17" width="8.88671875" style="5"/>
    <col min="18" max="18" width="11" style="5" customWidth="1"/>
    <col min="19" max="19" width="4.5546875" style="5" customWidth="1"/>
    <col min="20" max="24" width="12.6640625" style="5" bestFit="1" customWidth="1"/>
    <col min="25" max="16384" width="8.88671875" style="5"/>
  </cols>
  <sheetData>
    <row r="1" spans="2:24" ht="19.2" customHeight="1" x14ac:dyDescent="0.3"/>
    <row r="2" spans="2:24" ht="42" customHeight="1" x14ac:dyDescent="0.35">
      <c r="B2" s="54" t="s">
        <v>23</v>
      </c>
      <c r="P2" s="84" t="s">
        <v>136</v>
      </c>
      <c r="Q2" s="84" t="s">
        <v>136</v>
      </c>
      <c r="R2" s="86" t="s">
        <v>140</v>
      </c>
    </row>
    <row r="3" spans="2:24" s="4" customFormat="1" ht="16.8" thickBot="1" x14ac:dyDescent="0.35">
      <c r="B3" s="2"/>
      <c r="C3" s="3">
        <v>42064</v>
      </c>
      <c r="D3" s="3">
        <v>42430</v>
      </c>
      <c r="E3" s="3">
        <v>42795</v>
      </c>
      <c r="F3" s="3">
        <v>43160</v>
      </c>
      <c r="G3" s="3">
        <v>43525</v>
      </c>
      <c r="H3" s="3">
        <v>43891</v>
      </c>
      <c r="I3" s="3">
        <v>44256</v>
      </c>
      <c r="J3" s="3">
        <v>44621</v>
      </c>
      <c r="K3" s="3">
        <v>44986</v>
      </c>
      <c r="L3" s="3">
        <v>45352</v>
      </c>
      <c r="M3" s="3">
        <v>45717</v>
      </c>
      <c r="N3" s="3">
        <v>46082</v>
      </c>
      <c r="P3" s="27" t="s">
        <v>137</v>
      </c>
      <c r="Q3" s="27" t="s">
        <v>138</v>
      </c>
      <c r="R3" s="27" t="s">
        <v>139</v>
      </c>
      <c r="T3" s="27">
        <v>46447</v>
      </c>
      <c r="U3" s="27">
        <v>46813</v>
      </c>
      <c r="V3" s="27">
        <v>47178</v>
      </c>
      <c r="W3" s="27">
        <v>47543</v>
      </c>
      <c r="X3" s="27">
        <v>47908</v>
      </c>
    </row>
    <row r="4" spans="2:24" x14ac:dyDescent="0.3">
      <c r="B4" s="6" t="s">
        <v>24</v>
      </c>
      <c r="C4" s="7">
        <v>196</v>
      </c>
      <c r="D4" s="7">
        <v>197</v>
      </c>
      <c r="E4" s="7">
        <v>197</v>
      </c>
      <c r="F4" s="7">
        <v>191</v>
      </c>
      <c r="G4" s="7">
        <v>375</v>
      </c>
      <c r="H4" s="7">
        <v>375</v>
      </c>
      <c r="I4" s="7">
        <v>370</v>
      </c>
      <c r="J4" s="7">
        <v>366</v>
      </c>
      <c r="K4" s="7">
        <v>366</v>
      </c>
      <c r="L4" s="7">
        <v>362</v>
      </c>
      <c r="M4" s="7">
        <v>362</v>
      </c>
      <c r="N4" s="7">
        <v>362</v>
      </c>
      <c r="P4" s="89">
        <f>(N4-M4)/M4</f>
        <v>0</v>
      </c>
      <c r="Q4" s="89">
        <f>(M4-L4)/L4</f>
        <v>0</v>
      </c>
      <c r="R4" s="89">
        <f>AVERAGE(P4:Q4)</f>
        <v>0</v>
      </c>
      <c r="T4" s="90">
        <f>N4*(1+$R$4)</f>
        <v>362</v>
      </c>
      <c r="U4" s="90">
        <f>T4*(1+R4)</f>
        <v>362</v>
      </c>
      <c r="V4" s="90">
        <f t="shared" ref="V4:X4" si="0">U4*(1+$R$4)</f>
        <v>362</v>
      </c>
      <c r="W4" s="90">
        <f t="shared" si="0"/>
        <v>362</v>
      </c>
      <c r="X4" s="90">
        <f t="shared" si="0"/>
        <v>362</v>
      </c>
    </row>
    <row r="5" spans="2:24" x14ac:dyDescent="0.3">
      <c r="B5" s="6" t="s">
        <v>25</v>
      </c>
      <c r="C5" s="8">
        <v>50439</v>
      </c>
      <c r="D5" s="8">
        <v>70875</v>
      </c>
      <c r="E5" s="8">
        <v>86017</v>
      </c>
      <c r="F5" s="8">
        <v>84937</v>
      </c>
      <c r="G5" s="8">
        <v>89071</v>
      </c>
      <c r="H5" s="8">
        <v>83751</v>
      </c>
      <c r="I5" s="8">
        <v>86063</v>
      </c>
      <c r="J5" s="8">
        <v>88773</v>
      </c>
      <c r="K5" s="8">
        <v>90058</v>
      </c>
      <c r="L5" s="8">
        <v>90127</v>
      </c>
      <c r="M5" s="8">
        <v>94394</v>
      </c>
      <c r="N5" s="8">
        <v>106878</v>
      </c>
      <c r="P5" s="89">
        <f t="shared" ref="P5:P13" si="1">(N5-M5)/M5</f>
        <v>0.13225416869716294</v>
      </c>
      <c r="Q5" s="89">
        <f t="shared" ref="Q5:Q13" si="2">(M5-L5)/L5</f>
        <v>4.7344303039044904E-2</v>
      </c>
      <c r="R5" s="89">
        <f t="shared" ref="R5:R13" si="3">AVERAGE(P5:Q5)</f>
        <v>8.9799235868103927E-2</v>
      </c>
      <c r="T5" s="90">
        <f t="shared" ref="T5:T13" si="4">N5*(1+R5)</f>
        <v>116475.5627311112</v>
      </c>
      <c r="U5" s="90">
        <f>T5*(1+$R$5)</f>
        <v>126934.97926167239</v>
      </c>
      <c r="V5" s="90">
        <f>U5*(1+$R$5)</f>
        <v>138333.6434043042</v>
      </c>
      <c r="W5" s="90">
        <f t="shared" ref="W5:X5" si="5">V5*(1+$R$5)</f>
        <v>150755.89887686149</v>
      </c>
      <c r="X5" s="90">
        <f t="shared" si="5"/>
        <v>164293.66339861279</v>
      </c>
    </row>
    <row r="6" spans="2:24" x14ac:dyDescent="0.3">
      <c r="B6" s="6" t="s">
        <v>30</v>
      </c>
      <c r="C6" s="7">
        <v>358</v>
      </c>
      <c r="D6" s="7">
        <v>245</v>
      </c>
      <c r="E6" s="7">
        <v>289</v>
      </c>
      <c r="F6" s="7">
        <v>247</v>
      </c>
      <c r="G6" s="7">
        <v>62</v>
      </c>
      <c r="H6" s="8">
        <v>8174</v>
      </c>
      <c r="I6" s="8">
        <v>7795</v>
      </c>
      <c r="J6" s="8">
        <v>7818</v>
      </c>
      <c r="K6" s="8">
        <v>7688</v>
      </c>
      <c r="L6" s="8">
        <v>8021</v>
      </c>
      <c r="M6" s="8">
        <v>9392</v>
      </c>
      <c r="N6" s="8">
        <v>11283</v>
      </c>
      <c r="P6" s="89">
        <f t="shared" si="1"/>
        <v>0.20134156729131175</v>
      </c>
      <c r="Q6" s="89">
        <f t="shared" si="2"/>
        <v>0.17092631841416281</v>
      </c>
      <c r="R6" s="89">
        <f t="shared" si="3"/>
        <v>0.18613394285273727</v>
      </c>
      <c r="T6" s="90">
        <f t="shared" si="4"/>
        <v>13383.149277207434</v>
      </c>
      <c r="U6" s="90">
        <f>T6*(1+$R$6)</f>
        <v>15874.207619960816</v>
      </c>
      <c r="V6" s="90">
        <f t="shared" ref="V6:X6" si="6">U6*(1+$R$6)</f>
        <v>18828.93647392709</v>
      </c>
      <c r="W6" s="90">
        <f t="shared" si="6"/>
        <v>22333.640659542856</v>
      </c>
      <c r="X6" s="90">
        <f t="shared" si="6"/>
        <v>26490.689253759778</v>
      </c>
    </row>
    <row r="7" spans="2:24" x14ac:dyDescent="0.3">
      <c r="B7" s="6" t="s">
        <v>31</v>
      </c>
      <c r="C7" s="8">
        <v>22325</v>
      </c>
      <c r="D7" s="8">
        <v>16974</v>
      </c>
      <c r="E7" s="8">
        <v>15830</v>
      </c>
      <c r="F7" s="8">
        <v>19751</v>
      </c>
      <c r="G7" s="8">
        <v>24393</v>
      </c>
      <c r="H7" s="8">
        <v>27827</v>
      </c>
      <c r="I7" s="8">
        <v>35764</v>
      </c>
      <c r="J7" s="8">
        <v>43967</v>
      </c>
      <c r="K7" s="8">
        <v>44747</v>
      </c>
      <c r="L7" s="8">
        <v>46962</v>
      </c>
      <c r="M7" s="8">
        <v>54501</v>
      </c>
      <c r="N7" s="8">
        <v>62644</v>
      </c>
      <c r="P7" s="89">
        <f t="shared" si="1"/>
        <v>0.14941010256692538</v>
      </c>
      <c r="Q7" s="89">
        <f t="shared" si="2"/>
        <v>0.16053404880541713</v>
      </c>
      <c r="R7" s="89">
        <f t="shared" si="3"/>
        <v>0.15497207568617127</v>
      </c>
      <c r="T7" s="90">
        <f t="shared" si="4"/>
        <v>72352.070709284511</v>
      </c>
      <c r="U7" s="90">
        <f>T7*(1+$R$7)</f>
        <v>83564.621287294969</v>
      </c>
      <c r="V7" s="90">
        <f t="shared" ref="V7:X7" si="7">U7*(1+$R$7)</f>
        <v>96514.804102115886</v>
      </c>
      <c r="W7" s="90">
        <f t="shared" si="7"/>
        <v>111471.90362826498</v>
      </c>
      <c r="X7" s="90">
        <f t="shared" si="7"/>
        <v>128746.93591422604</v>
      </c>
    </row>
    <row r="8" spans="2:24" ht="16.2" thickBot="1" x14ac:dyDescent="0.35">
      <c r="B8" s="9" t="s">
        <v>26</v>
      </c>
      <c r="C8" s="10">
        <v>73318</v>
      </c>
      <c r="D8" s="10">
        <v>88291</v>
      </c>
      <c r="E8" s="10">
        <v>102333</v>
      </c>
      <c r="F8" s="10">
        <v>105126</v>
      </c>
      <c r="G8" s="10">
        <v>113901</v>
      </c>
      <c r="H8" s="10">
        <v>120127</v>
      </c>
      <c r="I8" s="10">
        <v>129992</v>
      </c>
      <c r="J8" s="10">
        <v>140924</v>
      </c>
      <c r="K8" s="10">
        <v>142859</v>
      </c>
      <c r="L8" s="10">
        <v>145472</v>
      </c>
      <c r="M8" s="10">
        <v>158649</v>
      </c>
      <c r="N8" s="10">
        <v>181167</v>
      </c>
      <c r="P8" s="91">
        <f t="shared" si="1"/>
        <v>0.14193597186241325</v>
      </c>
      <c r="Q8" s="91">
        <f t="shared" si="2"/>
        <v>9.058100527936648E-2</v>
      </c>
      <c r="R8" s="91">
        <f t="shared" si="3"/>
        <v>0.11625848857088986</v>
      </c>
      <c r="T8" s="92">
        <f t="shared" si="4"/>
        <v>202229.20159892243</v>
      </c>
      <c r="U8" s="92">
        <f>T8*(1+$R$8)</f>
        <v>225740.06292171095</v>
      </c>
      <c r="V8" s="92">
        <f t="shared" ref="V8:X8" si="8">U8*(1+$R$8)</f>
        <v>251984.26144688667</v>
      </c>
      <c r="W8" s="92">
        <f t="shared" si="8"/>
        <v>281279.57082635368</v>
      </c>
      <c r="X8" s="92">
        <f t="shared" si="8"/>
        <v>313980.70859649417</v>
      </c>
    </row>
    <row r="9" spans="2:24" x14ac:dyDescent="0.3">
      <c r="B9" s="6" t="s">
        <v>32</v>
      </c>
      <c r="C9" s="8">
        <v>11638</v>
      </c>
      <c r="D9" s="8">
        <v>11774</v>
      </c>
      <c r="E9" s="8">
        <v>11701</v>
      </c>
      <c r="F9" s="8">
        <v>11973</v>
      </c>
      <c r="G9" s="8">
        <v>12290</v>
      </c>
      <c r="H9" s="8">
        <v>20928</v>
      </c>
      <c r="I9" s="8">
        <v>21021</v>
      </c>
      <c r="J9" s="8">
        <v>21298</v>
      </c>
      <c r="K9" s="8">
        <v>20515</v>
      </c>
      <c r="L9" s="8">
        <v>19604</v>
      </c>
      <c r="M9" s="8">
        <v>23053</v>
      </c>
      <c r="N9" s="8">
        <v>31343</v>
      </c>
      <c r="P9" s="89">
        <f t="shared" si="1"/>
        <v>0.35960612501626688</v>
      </c>
      <c r="Q9" s="89">
        <f t="shared" si="2"/>
        <v>0.17593348296266068</v>
      </c>
      <c r="R9" s="89">
        <f t="shared" si="3"/>
        <v>0.26776980398946376</v>
      </c>
      <c r="T9" s="90">
        <f t="shared" si="4"/>
        <v>39735.708966441765</v>
      </c>
      <c r="U9" s="90">
        <f>T9*(1+$R$9)</f>
        <v>50375.731967768254</v>
      </c>
      <c r="V9" s="90">
        <f t="shared" ref="V9:X9" si="9">U9*(1+$R$9)</f>
        <v>63864.831842603322</v>
      </c>
      <c r="W9" s="90">
        <f t="shared" si="9"/>
        <v>80965.90534691728</v>
      </c>
      <c r="X9" s="90">
        <f t="shared" si="9"/>
        <v>102646.1299514908</v>
      </c>
    </row>
    <row r="10" spans="2:24" x14ac:dyDescent="0.3">
      <c r="B10" s="6" t="s">
        <v>27</v>
      </c>
      <c r="C10" s="8">
        <v>2766</v>
      </c>
      <c r="D10" s="8">
        <v>1670</v>
      </c>
      <c r="E10" s="8">
        <v>1541</v>
      </c>
      <c r="F10" s="8">
        <v>1278</v>
      </c>
      <c r="G10" s="7">
        <v>963</v>
      </c>
      <c r="H10" s="7">
        <v>906</v>
      </c>
      <c r="I10" s="7">
        <v>926</v>
      </c>
      <c r="J10" s="8">
        <v>1205</v>
      </c>
      <c r="K10" s="8">
        <v>1234</v>
      </c>
      <c r="L10" s="8">
        <v>1564</v>
      </c>
      <c r="M10" s="8">
        <v>1546</v>
      </c>
      <c r="N10" s="8">
        <v>2665</v>
      </c>
      <c r="P10" s="89">
        <f t="shared" si="1"/>
        <v>0.72380336351875807</v>
      </c>
      <c r="Q10" s="89">
        <f t="shared" si="2"/>
        <v>-1.1508951406649617E-2</v>
      </c>
      <c r="R10" s="89">
        <f t="shared" si="3"/>
        <v>0.35614720605605421</v>
      </c>
      <c r="T10" s="90">
        <f t="shared" si="4"/>
        <v>3614.1323041393844</v>
      </c>
      <c r="U10" s="90">
        <f>T10*(1+$R$10)</f>
        <v>4901.2954265755561</v>
      </c>
      <c r="V10" s="90">
        <f t="shared" ref="V10:X10" si="10">U10*(1+$R$10)</f>
        <v>6646.878098805757</v>
      </c>
      <c r="W10" s="90">
        <f t="shared" si="10"/>
        <v>9014.1451626906055</v>
      </c>
      <c r="X10" s="90">
        <f t="shared" si="10"/>
        <v>12224.507777366562</v>
      </c>
    </row>
    <row r="11" spans="2:24" x14ac:dyDescent="0.3">
      <c r="B11" s="6" t="s">
        <v>28</v>
      </c>
      <c r="C11" s="8">
        <v>1662</v>
      </c>
      <c r="D11" s="8">
        <v>22822</v>
      </c>
      <c r="E11" s="8">
        <v>41980</v>
      </c>
      <c r="F11" s="8">
        <v>36008</v>
      </c>
      <c r="G11" s="8">
        <v>29330</v>
      </c>
      <c r="H11" s="8">
        <v>26356</v>
      </c>
      <c r="I11" s="8">
        <v>29373</v>
      </c>
      <c r="J11" s="8">
        <v>30485</v>
      </c>
      <c r="K11" s="8">
        <v>37163</v>
      </c>
      <c r="L11" s="8">
        <v>31762</v>
      </c>
      <c r="M11" s="8">
        <v>30964</v>
      </c>
      <c r="N11" s="8">
        <v>33988</v>
      </c>
      <c r="P11" s="89">
        <f t="shared" si="1"/>
        <v>9.7661800800930107E-2</v>
      </c>
      <c r="Q11" s="89">
        <f t="shared" si="2"/>
        <v>-2.5124362445689819E-2</v>
      </c>
      <c r="R11" s="89">
        <f t="shared" si="3"/>
        <v>3.6268719177620146E-2</v>
      </c>
      <c r="T11" s="90">
        <f t="shared" si="4"/>
        <v>35220.70122740895</v>
      </c>
      <c r="U11" s="90">
        <f>T11*(1+$R$11)</f>
        <v>36498.110949464703</v>
      </c>
      <c r="V11" s="90">
        <f t="shared" ref="V11:X11" si="11">U11*(1+$R$11)</f>
        <v>37821.850686004458</v>
      </c>
      <c r="W11" s="90">
        <f t="shared" si="11"/>
        <v>39193.60076731303</v>
      </c>
      <c r="X11" s="90">
        <f t="shared" si="11"/>
        <v>40615.102467102464</v>
      </c>
    </row>
    <row r="12" spans="2:24" x14ac:dyDescent="0.3">
      <c r="B12" s="6" t="s">
        <v>33</v>
      </c>
      <c r="C12" s="8">
        <v>57252</v>
      </c>
      <c r="D12" s="8">
        <v>52025</v>
      </c>
      <c r="E12" s="8">
        <v>47111</v>
      </c>
      <c r="F12" s="8">
        <v>55867</v>
      </c>
      <c r="G12" s="8">
        <v>71318</v>
      </c>
      <c r="H12" s="8">
        <v>71937</v>
      </c>
      <c r="I12" s="8">
        <v>78672</v>
      </c>
      <c r="J12" s="8">
        <v>87936</v>
      </c>
      <c r="K12" s="8">
        <v>83947</v>
      </c>
      <c r="L12" s="8">
        <v>92542</v>
      </c>
      <c r="M12" s="8">
        <v>103086</v>
      </c>
      <c r="N12" s="8">
        <v>113171</v>
      </c>
      <c r="P12" s="89">
        <f t="shared" si="1"/>
        <v>9.7830937275672741E-2</v>
      </c>
      <c r="Q12" s="89">
        <f t="shared" si="2"/>
        <v>0.11393745542564457</v>
      </c>
      <c r="R12" s="89">
        <f t="shared" si="3"/>
        <v>0.10588419635065865</v>
      </c>
      <c r="T12" s="90">
        <f t="shared" si="4"/>
        <v>125154.02038520039</v>
      </c>
      <c r="U12" s="90">
        <f>T12*(1+$R$12)</f>
        <v>138405.85325374128</v>
      </c>
      <c r="V12" s="90">
        <f t="shared" ref="V12:X12" si="12">U12*(1+$R$12)</f>
        <v>153060.84579574087</v>
      </c>
      <c r="W12" s="90">
        <f t="shared" si="12"/>
        <v>169267.57044557499</v>
      </c>
      <c r="X12" s="90">
        <f t="shared" si="12"/>
        <v>187190.33111043321</v>
      </c>
    </row>
    <row r="13" spans="2:24" ht="16.2" thickBot="1" x14ac:dyDescent="0.35">
      <c r="B13" s="9" t="s">
        <v>29</v>
      </c>
      <c r="C13" s="10">
        <v>73318</v>
      </c>
      <c r="D13" s="10">
        <v>88291</v>
      </c>
      <c r="E13" s="10">
        <v>102333</v>
      </c>
      <c r="F13" s="10">
        <v>105126</v>
      </c>
      <c r="G13" s="10">
        <v>113901</v>
      </c>
      <c r="H13" s="10">
        <v>120127</v>
      </c>
      <c r="I13" s="10">
        <v>129992</v>
      </c>
      <c r="J13" s="10">
        <v>140924</v>
      </c>
      <c r="K13" s="10">
        <v>142859</v>
      </c>
      <c r="L13" s="10">
        <v>145472</v>
      </c>
      <c r="M13" s="10">
        <v>158649</v>
      </c>
      <c r="N13" s="10">
        <v>181167</v>
      </c>
      <c r="P13" s="91">
        <f t="shared" si="1"/>
        <v>0.14193597186241325</v>
      </c>
      <c r="Q13" s="91">
        <f t="shared" si="2"/>
        <v>9.058100527936648E-2</v>
      </c>
      <c r="R13" s="91">
        <f t="shared" si="3"/>
        <v>0.11625848857088986</v>
      </c>
      <c r="T13" s="92">
        <f t="shared" si="4"/>
        <v>202229.20159892243</v>
      </c>
      <c r="U13" s="92">
        <f>T13*(1+$R$13)</f>
        <v>225740.06292171095</v>
      </c>
      <c r="V13" s="92">
        <f t="shared" ref="V13:X13" si="13">U13*(1+$R$13)</f>
        <v>251984.26144688667</v>
      </c>
      <c r="W13" s="92">
        <f t="shared" si="13"/>
        <v>281279.57082635368</v>
      </c>
      <c r="X13" s="92">
        <f t="shared" si="13"/>
        <v>313980.70859649417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E233-95D6-4BC0-9301-4EA2908779C5}">
  <dimension ref="B2:N40"/>
  <sheetViews>
    <sheetView zoomScaleNormal="100" workbookViewId="0"/>
  </sheetViews>
  <sheetFormatPr defaultRowHeight="15.6" x14ac:dyDescent="0.3"/>
  <cols>
    <col min="1" max="1" width="2.88671875" style="40" customWidth="1"/>
    <col min="2" max="2" width="27.109375" style="45" bestFit="1" customWidth="1"/>
    <col min="3" max="4" width="9.44140625" style="40" bestFit="1" customWidth="1"/>
    <col min="5" max="14" width="11.5546875" style="40" bestFit="1" customWidth="1"/>
    <col min="15" max="16384" width="8.88671875" style="40"/>
  </cols>
  <sheetData>
    <row r="2" spans="2:14" ht="18" x14ac:dyDescent="0.3">
      <c r="B2" s="53" t="s">
        <v>109</v>
      </c>
    </row>
    <row r="3" spans="2:14" ht="16.8" thickBot="1" x14ac:dyDescent="0.35">
      <c r="B3" s="33"/>
      <c r="C3" s="27">
        <v>42064</v>
      </c>
      <c r="D3" s="27">
        <v>42430</v>
      </c>
      <c r="E3" s="27">
        <v>42795</v>
      </c>
      <c r="F3" s="27">
        <v>43160</v>
      </c>
      <c r="G3" s="27">
        <v>43525</v>
      </c>
      <c r="H3" s="27">
        <v>43891</v>
      </c>
      <c r="I3" s="27">
        <v>44256</v>
      </c>
      <c r="J3" s="27">
        <v>44621</v>
      </c>
      <c r="K3" s="27">
        <v>44986</v>
      </c>
      <c r="L3" s="27">
        <v>45352</v>
      </c>
      <c r="M3" s="27">
        <v>45717</v>
      </c>
      <c r="N3" s="27">
        <v>46082</v>
      </c>
    </row>
    <row r="4" spans="2:14" x14ac:dyDescent="0.3">
      <c r="B4" s="34" t="s">
        <v>24</v>
      </c>
      <c r="C4" s="7">
        <v>196</v>
      </c>
      <c r="D4" s="7">
        <v>197</v>
      </c>
      <c r="E4" s="7">
        <v>197</v>
      </c>
      <c r="F4" s="7">
        <v>191</v>
      </c>
      <c r="G4" s="7">
        <v>375</v>
      </c>
      <c r="H4" s="7">
        <v>375</v>
      </c>
      <c r="I4" s="7">
        <v>370</v>
      </c>
      <c r="J4" s="7">
        <v>366</v>
      </c>
      <c r="K4" s="7">
        <v>366</v>
      </c>
      <c r="L4" s="7">
        <v>362</v>
      </c>
      <c r="M4" s="7">
        <v>362</v>
      </c>
      <c r="N4" s="7">
        <v>362</v>
      </c>
    </row>
    <row r="5" spans="2:14" ht="16.2" thickBot="1" x14ac:dyDescent="0.35">
      <c r="B5" s="34" t="s">
        <v>25</v>
      </c>
      <c r="C5" s="8">
        <v>50439</v>
      </c>
      <c r="D5" s="8">
        <v>70875</v>
      </c>
      <c r="E5" s="8">
        <v>86017</v>
      </c>
      <c r="F5" s="8">
        <v>84937</v>
      </c>
      <c r="G5" s="8">
        <v>89071</v>
      </c>
      <c r="H5" s="8">
        <v>83751</v>
      </c>
      <c r="I5" s="8">
        <v>86063</v>
      </c>
      <c r="J5" s="8">
        <v>88773</v>
      </c>
      <c r="K5" s="8">
        <v>90058</v>
      </c>
      <c r="L5" s="8">
        <v>90127</v>
      </c>
      <c r="M5" s="8">
        <v>94394</v>
      </c>
      <c r="N5" s="8">
        <v>106878</v>
      </c>
    </row>
    <row r="6" spans="2:14" x14ac:dyDescent="0.3">
      <c r="B6" s="44" t="s">
        <v>30</v>
      </c>
      <c r="C6" s="41">
        <v>358</v>
      </c>
      <c r="D6" s="41">
        <v>245</v>
      </c>
      <c r="E6" s="41">
        <v>289</v>
      </c>
      <c r="F6" s="41">
        <v>247</v>
      </c>
      <c r="G6" s="41">
        <v>62</v>
      </c>
      <c r="H6" s="42">
        <v>8174</v>
      </c>
      <c r="I6" s="42">
        <v>7795</v>
      </c>
      <c r="J6" s="42">
        <v>7818</v>
      </c>
      <c r="K6" s="42">
        <v>7688</v>
      </c>
      <c r="L6" s="42">
        <v>8021</v>
      </c>
      <c r="M6" s="42">
        <v>9392</v>
      </c>
      <c r="N6" s="42">
        <v>11283</v>
      </c>
    </row>
    <row r="7" spans="2:14" x14ac:dyDescent="0.3">
      <c r="B7" s="34" t="s">
        <v>68</v>
      </c>
      <c r="C7" s="7">
        <v>114</v>
      </c>
      <c r="D7" s="7">
        <v>83</v>
      </c>
      <c r="E7" s="7">
        <v>71</v>
      </c>
      <c r="F7" s="7">
        <v>54</v>
      </c>
      <c r="G7" s="7">
        <v>44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</row>
    <row r="8" spans="2:14" x14ac:dyDescent="0.3">
      <c r="B8" s="34" t="s">
        <v>69</v>
      </c>
      <c r="C8" s="7">
        <v>186</v>
      </c>
      <c r="D8" s="7">
        <v>113</v>
      </c>
      <c r="E8" s="7">
        <v>200</v>
      </c>
      <c r="F8" s="7">
        <v>181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2:14" x14ac:dyDescent="0.3">
      <c r="B9" s="34" t="s">
        <v>70</v>
      </c>
      <c r="C9" s="7">
        <v>0</v>
      </c>
      <c r="D9" s="7">
        <v>0</v>
      </c>
      <c r="E9" s="7">
        <v>0</v>
      </c>
      <c r="F9" s="7">
        <v>0</v>
      </c>
      <c r="G9" s="7">
        <v>44</v>
      </c>
      <c r="H9" s="8">
        <v>8174</v>
      </c>
      <c r="I9" s="8">
        <v>7795</v>
      </c>
      <c r="J9" s="8">
        <v>7818</v>
      </c>
      <c r="K9" s="8">
        <v>7688</v>
      </c>
      <c r="L9" s="8">
        <v>8021</v>
      </c>
      <c r="M9" s="8">
        <v>9392</v>
      </c>
      <c r="N9" s="8">
        <v>11283</v>
      </c>
    </row>
    <row r="10" spans="2:14" ht="16.2" thickBot="1" x14ac:dyDescent="0.35">
      <c r="B10" s="34" t="s">
        <v>71</v>
      </c>
      <c r="C10" s="7">
        <v>58</v>
      </c>
      <c r="D10" s="7">
        <v>49</v>
      </c>
      <c r="E10" s="7">
        <v>18</v>
      </c>
      <c r="F10" s="7">
        <v>12</v>
      </c>
      <c r="G10" s="7">
        <v>-26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2:14" x14ac:dyDescent="0.3">
      <c r="B11" s="44" t="s">
        <v>31</v>
      </c>
      <c r="C11" s="42">
        <v>22325</v>
      </c>
      <c r="D11" s="42">
        <v>16974</v>
      </c>
      <c r="E11" s="42">
        <v>15830</v>
      </c>
      <c r="F11" s="42">
        <v>19751</v>
      </c>
      <c r="G11" s="42">
        <v>24393</v>
      </c>
      <c r="H11" s="42">
        <v>27827</v>
      </c>
      <c r="I11" s="42">
        <v>35764</v>
      </c>
      <c r="J11" s="42">
        <v>43967</v>
      </c>
      <c r="K11" s="42">
        <v>44747</v>
      </c>
      <c r="L11" s="42">
        <v>46962</v>
      </c>
      <c r="M11" s="42">
        <v>54501</v>
      </c>
      <c r="N11" s="42">
        <v>62644</v>
      </c>
    </row>
    <row r="12" spans="2:14" x14ac:dyDescent="0.3">
      <c r="B12" s="34" t="s">
        <v>72</v>
      </c>
      <c r="C12" s="8">
        <v>1128</v>
      </c>
      <c r="D12" s="7">
        <v>355</v>
      </c>
      <c r="E12" s="7">
        <v>366</v>
      </c>
      <c r="F12" s="7">
        <v>402</v>
      </c>
      <c r="G12" s="7">
        <v>453</v>
      </c>
      <c r="H12" s="7">
        <v>623</v>
      </c>
      <c r="I12" s="7">
        <v>675</v>
      </c>
      <c r="J12" s="7">
        <v>707</v>
      </c>
      <c r="K12" s="7">
        <v>782</v>
      </c>
      <c r="L12" s="7">
        <v>830</v>
      </c>
      <c r="M12" s="8">
        <v>1015</v>
      </c>
      <c r="N12" s="8">
        <v>1238</v>
      </c>
    </row>
    <row r="13" spans="2:14" x14ac:dyDescent="0.3">
      <c r="B13" s="34" t="s">
        <v>73</v>
      </c>
      <c r="C13" s="8">
        <v>8831</v>
      </c>
      <c r="D13" s="8">
        <v>7541</v>
      </c>
      <c r="E13" s="8">
        <v>4905</v>
      </c>
      <c r="F13" s="8">
        <v>5094</v>
      </c>
      <c r="G13" s="8">
        <v>6292</v>
      </c>
      <c r="H13" s="8">
        <v>6740</v>
      </c>
      <c r="I13" s="8">
        <v>7860</v>
      </c>
      <c r="J13" s="8">
        <v>8045</v>
      </c>
      <c r="K13" s="8">
        <v>10515</v>
      </c>
      <c r="L13" s="8">
        <v>9981</v>
      </c>
      <c r="M13" s="8">
        <v>13909</v>
      </c>
      <c r="N13" s="8">
        <v>14808</v>
      </c>
    </row>
    <row r="14" spans="2:14" x14ac:dyDescent="0.3">
      <c r="B14" s="34" t="s">
        <v>74</v>
      </c>
      <c r="C14" s="7">
        <v>131</v>
      </c>
      <c r="D14" s="7">
        <v>164</v>
      </c>
      <c r="E14" s="7">
        <v>330</v>
      </c>
      <c r="F14" s="7">
        <v>796</v>
      </c>
      <c r="G14" s="7">
        <v>575</v>
      </c>
      <c r="H14" s="7">
        <v>345</v>
      </c>
      <c r="I14" s="7">
        <v>312</v>
      </c>
      <c r="J14" s="7">
        <v>468</v>
      </c>
      <c r="K14" s="7">
        <v>543</v>
      </c>
      <c r="L14" s="8">
        <v>1841</v>
      </c>
      <c r="M14" s="8">
        <v>1896</v>
      </c>
      <c r="N14" s="7">
        <v>694</v>
      </c>
    </row>
    <row r="15" spans="2:14" x14ac:dyDescent="0.3">
      <c r="B15" s="34" t="s">
        <v>75</v>
      </c>
      <c r="C15" s="8">
        <v>12236</v>
      </c>
      <c r="D15" s="8">
        <v>8914</v>
      </c>
      <c r="E15" s="8">
        <v>10229</v>
      </c>
      <c r="F15" s="8">
        <v>13459</v>
      </c>
      <c r="G15" s="8">
        <v>17073</v>
      </c>
      <c r="H15" s="8">
        <v>20119</v>
      </c>
      <c r="I15" s="8">
        <v>26917</v>
      </c>
      <c r="J15" s="8">
        <v>34747</v>
      </c>
      <c r="K15" s="8">
        <v>32907</v>
      </c>
      <c r="L15" s="8">
        <v>34310</v>
      </c>
      <c r="M15" s="8">
        <v>37681</v>
      </c>
      <c r="N15" s="8">
        <v>45904</v>
      </c>
    </row>
    <row r="16" spans="2:14" ht="16.2" thickBot="1" x14ac:dyDescent="0.35">
      <c r="B16" s="48" t="s">
        <v>26</v>
      </c>
      <c r="C16" s="10">
        <v>73318</v>
      </c>
      <c r="D16" s="10">
        <v>88291</v>
      </c>
      <c r="E16" s="10">
        <v>102333</v>
      </c>
      <c r="F16" s="10">
        <v>105126</v>
      </c>
      <c r="G16" s="10">
        <v>113901</v>
      </c>
      <c r="H16" s="10">
        <v>120127</v>
      </c>
      <c r="I16" s="10">
        <v>129992</v>
      </c>
      <c r="J16" s="10">
        <v>140924</v>
      </c>
      <c r="K16" s="10">
        <v>142859</v>
      </c>
      <c r="L16" s="10">
        <v>145472</v>
      </c>
      <c r="M16" s="10">
        <v>158649</v>
      </c>
      <c r="N16" s="10">
        <v>181167</v>
      </c>
    </row>
    <row r="17" spans="2:14" x14ac:dyDescent="0.3">
      <c r="B17" s="46" t="s">
        <v>32</v>
      </c>
      <c r="C17" s="47">
        <v>11638</v>
      </c>
      <c r="D17" s="47">
        <v>11774</v>
      </c>
      <c r="E17" s="47">
        <v>11701</v>
      </c>
      <c r="F17" s="47">
        <v>11973</v>
      </c>
      <c r="G17" s="47">
        <v>12290</v>
      </c>
      <c r="H17" s="47">
        <v>20928</v>
      </c>
      <c r="I17" s="47">
        <v>21021</v>
      </c>
      <c r="J17" s="47">
        <v>21298</v>
      </c>
      <c r="K17" s="47">
        <v>20515</v>
      </c>
      <c r="L17" s="47">
        <v>19604</v>
      </c>
      <c r="M17" s="47">
        <v>23053</v>
      </c>
      <c r="N17" s="47">
        <v>31343</v>
      </c>
    </row>
    <row r="18" spans="2:14" x14ac:dyDescent="0.3">
      <c r="B18" s="34" t="s">
        <v>76</v>
      </c>
      <c r="C18" s="7">
        <v>565</v>
      </c>
      <c r="D18" s="7">
        <v>348</v>
      </c>
      <c r="E18" s="7">
        <v>348</v>
      </c>
      <c r="F18" s="7">
        <v>348</v>
      </c>
      <c r="G18" s="7">
        <v>345</v>
      </c>
      <c r="H18" s="8">
        <v>1041</v>
      </c>
      <c r="I18" s="8">
        <v>1041</v>
      </c>
      <c r="J18" s="8">
        <v>1126</v>
      </c>
      <c r="K18" s="8">
        <v>1304</v>
      </c>
      <c r="L18" s="8">
        <v>1294</v>
      </c>
      <c r="M18" s="8">
        <v>2873</v>
      </c>
      <c r="N18" s="8">
        <v>2873</v>
      </c>
    </row>
    <row r="19" spans="2:14" x14ac:dyDescent="0.3">
      <c r="B19" s="34" t="s">
        <v>77</v>
      </c>
      <c r="C19" s="8">
        <v>6508</v>
      </c>
      <c r="D19" s="8">
        <v>7959</v>
      </c>
      <c r="E19" s="8">
        <v>8681</v>
      </c>
      <c r="F19" s="8">
        <v>9359</v>
      </c>
      <c r="G19" s="8">
        <v>9832</v>
      </c>
      <c r="H19" s="8">
        <v>18645</v>
      </c>
      <c r="I19" s="8">
        <v>18524</v>
      </c>
      <c r="J19" s="8">
        <v>17007</v>
      </c>
      <c r="K19" s="8">
        <v>18635</v>
      </c>
      <c r="L19" s="8">
        <v>19314</v>
      </c>
      <c r="M19" s="8">
        <v>19681</v>
      </c>
      <c r="N19" s="8">
        <v>21834</v>
      </c>
    </row>
    <row r="20" spans="2:14" x14ac:dyDescent="0.3">
      <c r="B20" s="34" t="s">
        <v>78</v>
      </c>
      <c r="C20" s="7">
        <v>127</v>
      </c>
      <c r="D20" s="7">
        <v>322</v>
      </c>
      <c r="E20" s="7">
        <v>395</v>
      </c>
      <c r="F20" s="7">
        <v>501</v>
      </c>
      <c r="G20" s="7">
        <v>552</v>
      </c>
      <c r="H20" s="7">
        <v>681</v>
      </c>
      <c r="I20" s="7">
        <v>737</v>
      </c>
      <c r="J20" s="7">
        <v>770</v>
      </c>
      <c r="K20" s="7">
        <v>828</v>
      </c>
      <c r="L20" s="7">
        <v>878</v>
      </c>
      <c r="M20" s="7">
        <v>993</v>
      </c>
      <c r="N20" s="8">
        <v>1039</v>
      </c>
    </row>
    <row r="21" spans="2:14" x14ac:dyDescent="0.3">
      <c r="B21" s="34" t="s">
        <v>79</v>
      </c>
      <c r="C21" s="8">
        <v>1769</v>
      </c>
      <c r="D21" s="8">
        <v>2004</v>
      </c>
      <c r="E21" s="8">
        <v>2112</v>
      </c>
      <c r="F21" s="8">
        <v>2221</v>
      </c>
      <c r="G21" s="8">
        <v>2377</v>
      </c>
      <c r="H21" s="8">
        <v>2522</v>
      </c>
      <c r="I21" s="8">
        <v>2587</v>
      </c>
      <c r="J21" s="8">
        <v>2693</v>
      </c>
      <c r="K21" s="8">
        <v>2823</v>
      </c>
      <c r="L21" s="8">
        <v>2982</v>
      </c>
      <c r="M21" s="8">
        <v>3166</v>
      </c>
      <c r="N21" s="8">
        <v>3390</v>
      </c>
    </row>
    <row r="22" spans="2:14" x14ac:dyDescent="0.3">
      <c r="B22" s="34" t="s">
        <v>80</v>
      </c>
      <c r="C22" s="8">
        <v>5073</v>
      </c>
      <c r="D22" s="8">
        <v>5591</v>
      </c>
      <c r="E22" s="8">
        <v>6082</v>
      </c>
      <c r="F22" s="8">
        <v>6786</v>
      </c>
      <c r="G22" s="8">
        <v>7687</v>
      </c>
      <c r="H22" s="8">
        <v>8824</v>
      </c>
      <c r="I22" s="8">
        <v>10873</v>
      </c>
      <c r="J22" s="8">
        <v>12301</v>
      </c>
      <c r="K22" s="8">
        <v>13725</v>
      </c>
      <c r="L22" s="8">
        <v>14544</v>
      </c>
      <c r="M22" s="8">
        <v>15123</v>
      </c>
      <c r="N22" s="8">
        <v>16159</v>
      </c>
    </row>
    <row r="23" spans="2:14" x14ac:dyDescent="0.3">
      <c r="B23" s="34" t="s">
        <v>81</v>
      </c>
      <c r="C23" s="8">
        <v>2554</v>
      </c>
      <c r="D23" s="8">
        <v>3052</v>
      </c>
      <c r="E23" s="8">
        <v>3241</v>
      </c>
      <c r="F23" s="8">
        <v>3471</v>
      </c>
      <c r="G23" s="8">
        <v>3690</v>
      </c>
      <c r="H23" s="8">
        <v>3925</v>
      </c>
      <c r="I23" s="8">
        <v>3943</v>
      </c>
      <c r="J23" s="8">
        <v>3968</v>
      </c>
      <c r="K23" s="8">
        <v>4130</v>
      </c>
      <c r="L23" s="8">
        <v>4346</v>
      </c>
      <c r="M23" s="8">
        <v>4628</v>
      </c>
      <c r="N23" s="8">
        <v>4840</v>
      </c>
    </row>
    <row r="24" spans="2:14" x14ac:dyDescent="0.3">
      <c r="B24" s="34" t="s">
        <v>82</v>
      </c>
      <c r="C24" s="7">
        <v>28</v>
      </c>
      <c r="D24" s="7">
        <v>32</v>
      </c>
      <c r="E24" s="7">
        <v>32</v>
      </c>
      <c r="F24" s="7">
        <v>34</v>
      </c>
      <c r="G24" s="7">
        <v>39</v>
      </c>
      <c r="H24" s="7">
        <v>68</v>
      </c>
      <c r="I24" s="7">
        <v>86</v>
      </c>
      <c r="J24" s="7">
        <v>71</v>
      </c>
      <c r="K24" s="7">
        <v>93</v>
      </c>
      <c r="L24" s="7">
        <v>97</v>
      </c>
      <c r="M24" s="7">
        <v>88</v>
      </c>
      <c r="N24" s="7">
        <v>100</v>
      </c>
    </row>
    <row r="25" spans="2:14" x14ac:dyDescent="0.3">
      <c r="B25" s="34" t="s">
        <v>83</v>
      </c>
      <c r="C25" s="8">
        <v>2785</v>
      </c>
      <c r="D25" s="8">
        <v>2192</v>
      </c>
      <c r="E25" s="8">
        <v>2016</v>
      </c>
      <c r="F25" s="8">
        <v>2194</v>
      </c>
      <c r="G25" s="8">
        <v>1956</v>
      </c>
      <c r="H25" s="8">
        <v>2158</v>
      </c>
      <c r="I25" s="8">
        <v>2538</v>
      </c>
      <c r="J25" s="8">
        <v>3484</v>
      </c>
      <c r="K25" s="8">
        <v>3750</v>
      </c>
      <c r="L25" s="8">
        <v>3836</v>
      </c>
      <c r="M25" s="8">
        <v>4865</v>
      </c>
      <c r="N25" s="8">
        <v>10284</v>
      </c>
    </row>
    <row r="26" spans="2:14" ht="16.2" thickBot="1" x14ac:dyDescent="0.35">
      <c r="B26" s="34" t="s">
        <v>84</v>
      </c>
      <c r="C26" s="7">
        <v>0</v>
      </c>
      <c r="D26" s="7">
        <v>86</v>
      </c>
      <c r="E26" s="7">
        <v>81</v>
      </c>
      <c r="F26" s="7">
        <v>89</v>
      </c>
      <c r="G26" s="7">
        <v>115</v>
      </c>
      <c r="H26" s="7">
        <v>120</v>
      </c>
      <c r="I26" s="7">
        <v>122</v>
      </c>
      <c r="J26" s="7">
        <v>121</v>
      </c>
      <c r="K26" s="7">
        <v>126</v>
      </c>
      <c r="L26" s="7">
        <v>127</v>
      </c>
      <c r="M26" s="7">
        <v>129</v>
      </c>
      <c r="N26" s="7">
        <v>228</v>
      </c>
    </row>
    <row r="27" spans="2:14" x14ac:dyDescent="0.3">
      <c r="B27" s="44" t="s">
        <v>85</v>
      </c>
      <c r="C27" s="42">
        <v>19409</v>
      </c>
      <c r="D27" s="42">
        <v>21586</v>
      </c>
      <c r="E27" s="42">
        <v>22988</v>
      </c>
      <c r="F27" s="42">
        <v>25003</v>
      </c>
      <c r="G27" s="42">
        <v>26593</v>
      </c>
      <c r="H27" s="42">
        <v>37984</v>
      </c>
      <c r="I27" s="42">
        <v>40451</v>
      </c>
      <c r="J27" s="42">
        <v>41541</v>
      </c>
      <c r="K27" s="42">
        <v>45414</v>
      </c>
      <c r="L27" s="42">
        <v>47418</v>
      </c>
      <c r="M27" s="42">
        <v>51546</v>
      </c>
      <c r="N27" s="42">
        <v>60747</v>
      </c>
    </row>
    <row r="28" spans="2:14" x14ac:dyDescent="0.3">
      <c r="B28" s="34" t="s">
        <v>86</v>
      </c>
      <c r="C28" s="8">
        <v>7771</v>
      </c>
      <c r="D28" s="8">
        <v>9812</v>
      </c>
      <c r="E28" s="8">
        <v>11287</v>
      </c>
      <c r="F28" s="8">
        <v>13030</v>
      </c>
      <c r="G28" s="8">
        <v>14303</v>
      </c>
      <c r="H28" s="8">
        <v>17056</v>
      </c>
      <c r="I28" s="8">
        <v>19430</v>
      </c>
      <c r="J28" s="8">
        <v>20243</v>
      </c>
      <c r="K28" s="8">
        <v>24899</v>
      </c>
      <c r="L28" s="8">
        <v>27814</v>
      </c>
      <c r="M28" s="8">
        <v>28493</v>
      </c>
      <c r="N28" s="8">
        <v>29404</v>
      </c>
    </row>
    <row r="29" spans="2:14" x14ac:dyDescent="0.3">
      <c r="B29" s="34" t="s">
        <v>27</v>
      </c>
      <c r="C29" s="8">
        <v>2766</v>
      </c>
      <c r="D29" s="8">
        <v>1670</v>
      </c>
      <c r="E29" s="8">
        <v>1541</v>
      </c>
      <c r="F29" s="8">
        <v>1278</v>
      </c>
      <c r="G29" s="7">
        <v>963</v>
      </c>
      <c r="H29" s="7">
        <v>906</v>
      </c>
      <c r="I29" s="7">
        <v>926</v>
      </c>
      <c r="J29" s="8">
        <v>1205</v>
      </c>
      <c r="K29" s="8">
        <v>1234</v>
      </c>
      <c r="L29" s="8">
        <v>1564</v>
      </c>
      <c r="M29" s="8">
        <v>1546</v>
      </c>
      <c r="N29" s="8">
        <v>2665</v>
      </c>
    </row>
    <row r="30" spans="2:14" ht="16.2" thickBot="1" x14ac:dyDescent="0.35">
      <c r="B30" s="34" t="s">
        <v>28</v>
      </c>
      <c r="C30" s="8">
        <v>1662</v>
      </c>
      <c r="D30" s="8">
        <v>22822</v>
      </c>
      <c r="E30" s="8">
        <v>41980</v>
      </c>
      <c r="F30" s="8">
        <v>36008</v>
      </c>
      <c r="G30" s="8">
        <v>29330</v>
      </c>
      <c r="H30" s="8">
        <v>26356</v>
      </c>
      <c r="I30" s="8">
        <v>29373</v>
      </c>
      <c r="J30" s="8">
        <v>30485</v>
      </c>
      <c r="K30" s="8">
        <v>37163</v>
      </c>
      <c r="L30" s="8">
        <v>31762</v>
      </c>
      <c r="M30" s="8">
        <v>30964</v>
      </c>
      <c r="N30" s="8">
        <v>33988</v>
      </c>
    </row>
    <row r="31" spans="2:14" x14ac:dyDescent="0.3">
      <c r="B31" s="44" t="s">
        <v>33</v>
      </c>
      <c r="C31" s="42">
        <v>57252</v>
      </c>
      <c r="D31" s="42">
        <v>52025</v>
      </c>
      <c r="E31" s="42">
        <v>47111</v>
      </c>
      <c r="F31" s="42">
        <v>55867</v>
      </c>
      <c r="G31" s="42">
        <v>71318</v>
      </c>
      <c r="H31" s="42">
        <v>71937</v>
      </c>
      <c r="I31" s="42">
        <v>78672</v>
      </c>
      <c r="J31" s="42">
        <v>87936</v>
      </c>
      <c r="K31" s="42">
        <v>83947</v>
      </c>
      <c r="L31" s="42">
        <v>92542</v>
      </c>
      <c r="M31" s="42">
        <v>103086</v>
      </c>
      <c r="N31" s="42">
        <v>113171</v>
      </c>
    </row>
    <row r="32" spans="2:14" ht="16.2" thickBot="1" x14ac:dyDescent="0.35">
      <c r="B32" s="34" t="s">
        <v>87</v>
      </c>
      <c r="C32" s="7">
        <v>16</v>
      </c>
      <c r="D32" s="7">
        <v>16</v>
      </c>
      <c r="E32" s="7">
        <v>21</v>
      </c>
      <c r="F32" s="7">
        <v>26</v>
      </c>
      <c r="G32" s="7">
        <v>10</v>
      </c>
      <c r="H32" s="7">
        <v>5</v>
      </c>
      <c r="I32" s="7">
        <v>8</v>
      </c>
      <c r="J32" s="7">
        <v>20</v>
      </c>
      <c r="K32" s="7">
        <v>28</v>
      </c>
      <c r="L32" s="7">
        <v>28</v>
      </c>
      <c r="M32" s="7">
        <v>21</v>
      </c>
      <c r="N32" s="7">
        <v>29</v>
      </c>
    </row>
    <row r="33" spans="2:14" x14ac:dyDescent="0.3">
      <c r="B33" s="44" t="s">
        <v>94</v>
      </c>
      <c r="C33" s="42">
        <v>20438</v>
      </c>
      <c r="D33" s="42">
        <v>24073</v>
      </c>
      <c r="E33" s="42">
        <v>22617</v>
      </c>
      <c r="F33" s="42">
        <v>24943</v>
      </c>
      <c r="G33" s="42">
        <v>27346</v>
      </c>
      <c r="H33" s="42">
        <v>30532</v>
      </c>
      <c r="I33" s="42">
        <v>30079</v>
      </c>
      <c r="J33" s="42">
        <v>41810</v>
      </c>
      <c r="K33" s="42">
        <v>49954</v>
      </c>
      <c r="L33" s="42">
        <v>53577</v>
      </c>
      <c r="M33" s="42">
        <v>59046</v>
      </c>
      <c r="N33" s="42">
        <v>67714</v>
      </c>
    </row>
    <row r="34" spans="2:14" x14ac:dyDescent="0.3">
      <c r="B34" s="34" t="s">
        <v>88</v>
      </c>
      <c r="C34" s="8">
        <v>1893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8">
        <v>9567</v>
      </c>
      <c r="K34" s="8">
        <v>8905</v>
      </c>
      <c r="L34" s="8">
        <v>1840</v>
      </c>
      <c r="M34" s="8">
        <v>4094</v>
      </c>
      <c r="N34" s="8">
        <v>6210</v>
      </c>
    </row>
    <row r="35" spans="2:14" x14ac:dyDescent="0.3">
      <c r="B35" s="34" t="s">
        <v>89</v>
      </c>
      <c r="C35" s="8">
        <v>18993</v>
      </c>
      <c r="D35" s="8">
        <v>24647</v>
      </c>
      <c r="E35" s="8">
        <v>22974</v>
      </c>
      <c r="F35" s="8">
        <v>25407</v>
      </c>
      <c r="G35" s="8">
        <v>27892</v>
      </c>
      <c r="H35" s="8">
        <v>31087</v>
      </c>
      <c r="I35" s="8">
        <v>30636</v>
      </c>
      <c r="J35" s="8">
        <v>32708</v>
      </c>
      <c r="K35" s="8">
        <v>41587</v>
      </c>
      <c r="L35" s="8">
        <v>52289</v>
      </c>
      <c r="M35" s="8">
        <v>55557</v>
      </c>
      <c r="N35" s="8">
        <v>62141</v>
      </c>
    </row>
    <row r="36" spans="2:14" x14ac:dyDescent="0.3">
      <c r="B36" s="34" t="s">
        <v>90</v>
      </c>
      <c r="C36" s="7">
        <v>-448</v>
      </c>
      <c r="D36" s="7">
        <v>-574</v>
      </c>
      <c r="E36" s="7">
        <v>-357</v>
      </c>
      <c r="F36" s="7">
        <v>-464</v>
      </c>
      <c r="G36" s="7">
        <v>-546</v>
      </c>
      <c r="H36" s="7">
        <v>-555</v>
      </c>
      <c r="I36" s="7">
        <v>-557</v>
      </c>
      <c r="J36" s="7">
        <v>-465</v>
      </c>
      <c r="K36" s="7">
        <v>-538</v>
      </c>
      <c r="L36" s="7">
        <v>-552</v>
      </c>
      <c r="M36" s="7">
        <v>-605</v>
      </c>
      <c r="N36" s="7">
        <v>-637</v>
      </c>
    </row>
    <row r="37" spans="2:14" x14ac:dyDescent="0.3">
      <c r="B37" s="34" t="s">
        <v>91</v>
      </c>
      <c r="C37" s="8">
        <v>18556</v>
      </c>
      <c r="D37" s="8">
        <v>6788</v>
      </c>
      <c r="E37" s="8">
        <v>4149</v>
      </c>
      <c r="F37" s="8">
        <v>7161</v>
      </c>
      <c r="G37" s="8">
        <v>12848</v>
      </c>
      <c r="H37" s="8">
        <v>9666</v>
      </c>
      <c r="I37" s="8">
        <v>9329</v>
      </c>
      <c r="J37" s="8">
        <v>18221</v>
      </c>
      <c r="K37" s="8">
        <v>11032</v>
      </c>
      <c r="L37" s="8">
        <v>13286</v>
      </c>
      <c r="M37" s="8">
        <v>15463</v>
      </c>
      <c r="N37" s="8">
        <v>12908</v>
      </c>
    </row>
    <row r="38" spans="2:14" x14ac:dyDescent="0.3">
      <c r="B38" s="34" t="s">
        <v>92</v>
      </c>
      <c r="C38" s="8">
        <v>2028</v>
      </c>
      <c r="D38" s="8">
        <v>3010</v>
      </c>
      <c r="E38" s="8">
        <v>2063</v>
      </c>
      <c r="F38" s="8">
        <v>1696</v>
      </c>
      <c r="G38" s="8">
        <v>3012</v>
      </c>
      <c r="H38" s="8">
        <v>1967</v>
      </c>
      <c r="I38" s="8">
        <v>5107</v>
      </c>
      <c r="J38" s="8">
        <v>3600</v>
      </c>
      <c r="K38" s="8">
        <v>2097</v>
      </c>
      <c r="L38" s="8">
        <v>3989</v>
      </c>
      <c r="M38" s="8">
        <v>4612</v>
      </c>
      <c r="N38" s="8">
        <v>6433</v>
      </c>
    </row>
    <row r="39" spans="2:14" x14ac:dyDescent="0.3">
      <c r="B39" s="34" t="s">
        <v>93</v>
      </c>
      <c r="C39" s="8">
        <v>16214</v>
      </c>
      <c r="D39" s="8">
        <v>18138</v>
      </c>
      <c r="E39" s="8">
        <v>18261</v>
      </c>
      <c r="F39" s="8">
        <v>22041</v>
      </c>
      <c r="G39" s="8">
        <v>28102</v>
      </c>
      <c r="H39" s="8">
        <v>29767</v>
      </c>
      <c r="I39" s="8">
        <v>34149</v>
      </c>
      <c r="J39" s="8">
        <v>24285</v>
      </c>
      <c r="K39" s="8">
        <v>20836</v>
      </c>
      <c r="L39" s="8">
        <v>21662</v>
      </c>
      <c r="M39" s="8">
        <v>23944</v>
      </c>
      <c r="N39" s="8">
        <v>26087</v>
      </c>
    </row>
    <row r="40" spans="2:14" ht="16.2" thickBot="1" x14ac:dyDescent="0.35">
      <c r="B40" s="48" t="s">
        <v>29</v>
      </c>
      <c r="C40" s="10">
        <v>73318</v>
      </c>
      <c r="D40" s="10">
        <v>88291</v>
      </c>
      <c r="E40" s="10">
        <v>102333</v>
      </c>
      <c r="F40" s="10">
        <v>105126</v>
      </c>
      <c r="G40" s="10">
        <v>113901</v>
      </c>
      <c r="H40" s="10">
        <v>120127</v>
      </c>
      <c r="I40" s="10">
        <v>129992</v>
      </c>
      <c r="J40" s="10">
        <v>140924</v>
      </c>
      <c r="K40" s="10">
        <v>142859</v>
      </c>
      <c r="L40" s="10">
        <v>145472</v>
      </c>
      <c r="M40" s="10">
        <v>158649</v>
      </c>
      <c r="N40" s="10">
        <v>181167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1BC0-5BF5-42BA-98A1-668DF113FAB0}">
  <dimension ref="A1:X12"/>
  <sheetViews>
    <sheetView zoomScaleNormal="100" workbookViewId="0"/>
  </sheetViews>
  <sheetFormatPr defaultRowHeight="15.6" x14ac:dyDescent="0.3"/>
  <cols>
    <col min="1" max="1" width="3.44140625" style="40" customWidth="1"/>
    <col min="2" max="2" width="33.21875" style="40" bestFit="1" customWidth="1"/>
    <col min="3" max="3" width="14.109375" style="40" bestFit="1" customWidth="1"/>
    <col min="4" max="4" width="13.88671875" style="40" bestFit="1" customWidth="1"/>
    <col min="5" max="14" width="14.109375" style="40" bestFit="1" customWidth="1"/>
    <col min="15" max="15" width="3.88671875" style="40" customWidth="1"/>
    <col min="16" max="17" width="8.88671875" style="40"/>
    <col min="18" max="18" width="14.33203125" style="40" customWidth="1"/>
    <col min="19" max="19" width="8.88671875" style="40"/>
    <col min="20" max="21" width="12.21875" style="94" bestFit="1" customWidth="1"/>
    <col min="22" max="23" width="14" style="94" bestFit="1" customWidth="1"/>
    <col min="24" max="24" width="15.109375" style="94" bestFit="1" customWidth="1"/>
    <col min="25" max="16384" width="8.88671875" style="94"/>
  </cols>
  <sheetData>
    <row r="1" spans="2:24" s="40" customFormat="1" x14ac:dyDescent="0.3"/>
    <row r="2" spans="2:24" s="40" customFormat="1" ht="36.6" customHeight="1" x14ac:dyDescent="0.35">
      <c r="B2" s="55" t="s">
        <v>34</v>
      </c>
      <c r="P2" s="84" t="s">
        <v>136</v>
      </c>
      <c r="Q2" s="84" t="s">
        <v>136</v>
      </c>
      <c r="R2" s="86" t="s">
        <v>140</v>
      </c>
    </row>
    <row r="3" spans="2:24" ht="16.8" thickBot="1" x14ac:dyDescent="0.35">
      <c r="B3" s="26"/>
      <c r="C3" s="27">
        <v>42064</v>
      </c>
      <c r="D3" s="27">
        <v>42430</v>
      </c>
      <c r="E3" s="27">
        <v>42795</v>
      </c>
      <c r="F3" s="27">
        <v>43160</v>
      </c>
      <c r="G3" s="27">
        <v>43525</v>
      </c>
      <c r="H3" s="27">
        <v>43891</v>
      </c>
      <c r="I3" s="27">
        <v>44256</v>
      </c>
      <c r="J3" s="27">
        <v>44621</v>
      </c>
      <c r="K3" s="27">
        <v>44986</v>
      </c>
      <c r="L3" s="27">
        <v>45352</v>
      </c>
      <c r="M3" s="27">
        <v>45717</v>
      </c>
      <c r="N3" s="27">
        <v>46082</v>
      </c>
      <c r="P3" s="27" t="s">
        <v>137</v>
      </c>
      <c r="Q3" s="27" t="s">
        <v>138</v>
      </c>
      <c r="R3" s="27" t="s">
        <v>139</v>
      </c>
      <c r="T3" s="27">
        <v>46447</v>
      </c>
      <c r="U3" s="27">
        <v>46813</v>
      </c>
      <c r="V3" s="27">
        <v>47178</v>
      </c>
      <c r="W3" s="27">
        <v>47543</v>
      </c>
      <c r="X3" s="27">
        <v>47908</v>
      </c>
    </row>
    <row r="4" spans="2:24" ht="16.2" x14ac:dyDescent="0.35">
      <c r="B4" s="6" t="s">
        <v>65</v>
      </c>
      <c r="C4" s="8">
        <v>19369</v>
      </c>
      <c r="D4" s="8">
        <v>19109</v>
      </c>
      <c r="E4" s="8">
        <v>25223</v>
      </c>
      <c r="F4" s="8">
        <v>25067</v>
      </c>
      <c r="G4" s="8">
        <v>28593</v>
      </c>
      <c r="H4" s="8">
        <v>32369</v>
      </c>
      <c r="I4" s="8">
        <v>38802</v>
      </c>
      <c r="J4" s="8">
        <v>39949</v>
      </c>
      <c r="K4" s="8">
        <v>41965</v>
      </c>
      <c r="L4" s="8">
        <v>44338</v>
      </c>
      <c r="M4" s="8">
        <v>48908</v>
      </c>
      <c r="N4" s="8">
        <v>52094</v>
      </c>
      <c r="P4" s="93">
        <f>(N4-M4)/M4</f>
        <v>6.5142716937924269E-2</v>
      </c>
      <c r="Q4" s="93">
        <f>(M4-L4)/L4</f>
        <v>0.1030718570977491</v>
      </c>
      <c r="R4" s="99">
        <f>AVERAGE(P4:Q4)</f>
        <v>8.4107287017836679E-2</v>
      </c>
      <c r="S4" s="93"/>
      <c r="T4" s="96">
        <f>N4*(1+R4)</f>
        <v>56475.485009907192</v>
      </c>
      <c r="U4" s="96">
        <f>T4*(1+$R$4)</f>
        <v>61225.484837106997</v>
      </c>
      <c r="V4" s="96">
        <f t="shared" ref="V4:X4" si="0">U4*(1+$R$4)</f>
        <v>66374.994263107772</v>
      </c>
      <c r="W4" s="96">
        <f t="shared" si="0"/>
        <v>71957.614956402249</v>
      </c>
      <c r="X4" s="96">
        <f t="shared" si="0"/>
        <v>78009.774730659352</v>
      </c>
    </row>
    <row r="5" spans="2:24" ht="16.2" x14ac:dyDescent="0.35">
      <c r="B5" s="6" t="s">
        <v>66</v>
      </c>
      <c r="C5" s="8">
        <v>-1807</v>
      </c>
      <c r="D5" s="8">
        <v>-5010</v>
      </c>
      <c r="E5" s="8">
        <v>-16895</v>
      </c>
      <c r="F5" s="8">
        <v>3104</v>
      </c>
      <c r="G5" s="8">
        <v>1645</v>
      </c>
      <c r="H5" s="8">
        <v>8968</v>
      </c>
      <c r="I5" s="8">
        <v>-7956</v>
      </c>
      <c r="J5" s="7">
        <v>-738</v>
      </c>
      <c r="K5" s="7">
        <v>548</v>
      </c>
      <c r="L5" s="8">
        <v>6091</v>
      </c>
      <c r="M5" s="8">
        <v>-2144</v>
      </c>
      <c r="N5" s="8">
        <v>-11886</v>
      </c>
      <c r="P5" s="93">
        <f t="shared" ref="P5:P8" si="1">(N5-M5)/M5</f>
        <v>4.5438432835820892</v>
      </c>
      <c r="Q5" s="93">
        <f t="shared" ref="Q5:Q8" si="2">(M5-L5)/L5</f>
        <v>-1.3519947463470694</v>
      </c>
      <c r="R5" s="99">
        <f t="shared" ref="R5:R8" si="3">AVERAGE(P5:Q5)</f>
        <v>1.5959242686175099</v>
      </c>
      <c r="S5" s="93"/>
      <c r="T5" s="96">
        <f t="shared" ref="T5:T8" si="4">N5*(1+R5)</f>
        <v>-30855.155856787722</v>
      </c>
      <c r="U5" s="96">
        <f>T5*(1+$R$5)</f>
        <v>-80097.647900610944</v>
      </c>
      <c r="V5" s="96">
        <f t="shared" ref="V5:X5" si="5">U5*(1+$R$5)</f>
        <v>-207927.42804437628</v>
      </c>
      <c r="W5" s="96">
        <f t="shared" si="5"/>
        <v>-539763.85657161742</v>
      </c>
      <c r="X5" s="96">
        <f t="shared" si="5"/>
        <v>-1401186.0945968423</v>
      </c>
    </row>
    <row r="6" spans="2:24" ht="16.2" x14ac:dyDescent="0.35">
      <c r="B6" s="6" t="s">
        <v>67</v>
      </c>
      <c r="C6" s="8">
        <v>-17168</v>
      </c>
      <c r="D6" s="8">
        <v>-9666</v>
      </c>
      <c r="E6" s="8">
        <v>-11026</v>
      </c>
      <c r="F6" s="8">
        <v>-26885</v>
      </c>
      <c r="G6" s="8">
        <v>-27897</v>
      </c>
      <c r="H6" s="8">
        <v>-39915</v>
      </c>
      <c r="I6" s="8">
        <v>-32634</v>
      </c>
      <c r="J6" s="8">
        <v>-33581</v>
      </c>
      <c r="K6" s="8">
        <v>-47878</v>
      </c>
      <c r="L6" s="8">
        <v>-48536</v>
      </c>
      <c r="M6" s="8">
        <v>-47438</v>
      </c>
      <c r="N6" s="8">
        <v>-42133</v>
      </c>
      <c r="P6" s="93">
        <f t="shared" si="1"/>
        <v>-0.11183017833804124</v>
      </c>
      <c r="Q6" s="93">
        <f t="shared" si="2"/>
        <v>-2.2622383385528268E-2</v>
      </c>
      <c r="R6" s="99">
        <f t="shared" si="3"/>
        <v>-6.7226280861784754E-2</v>
      </c>
      <c r="S6" s="93"/>
      <c r="T6" s="96">
        <f t="shared" si="4"/>
        <v>-39300.555108450426</v>
      </c>
      <c r="U6" s="96">
        <f>T6*(1+$R$6)</f>
        <v>-36658.524952705688</v>
      </c>
      <c r="V6" s="96">
        <f t="shared" ref="V6:X6" si="6">U6*(1+$R$6)</f>
        <v>-34194.108658256351</v>
      </c>
      <c r="W6" s="96">
        <f t="shared" si="6"/>
        <v>-31895.365905778024</v>
      </c>
      <c r="X6" s="96">
        <f t="shared" si="6"/>
        <v>-29751.159079206798</v>
      </c>
    </row>
    <row r="7" spans="2:24" ht="16.8" thickBot="1" x14ac:dyDescent="0.4">
      <c r="B7" s="9" t="s">
        <v>59</v>
      </c>
      <c r="C7" s="43">
        <v>394</v>
      </c>
      <c r="D7" s="10">
        <v>4433</v>
      </c>
      <c r="E7" s="10">
        <v>-2698</v>
      </c>
      <c r="F7" s="10">
        <v>1286</v>
      </c>
      <c r="G7" s="10">
        <v>2341</v>
      </c>
      <c r="H7" s="10">
        <v>1422</v>
      </c>
      <c r="I7" s="10">
        <v>-1788</v>
      </c>
      <c r="J7" s="10">
        <v>5630</v>
      </c>
      <c r="K7" s="10">
        <v>-5365</v>
      </c>
      <c r="L7" s="10">
        <v>1893</v>
      </c>
      <c r="M7" s="43">
        <v>-674</v>
      </c>
      <c r="N7" s="10">
        <v>-1925</v>
      </c>
      <c r="P7" s="95">
        <f t="shared" si="1"/>
        <v>1.8560830860534125</v>
      </c>
      <c r="Q7" s="95">
        <f t="shared" si="2"/>
        <v>-1.3560486001056524</v>
      </c>
      <c r="R7" s="100">
        <f t="shared" si="3"/>
        <v>0.25001724297388006</v>
      </c>
      <c r="S7" s="93"/>
      <c r="T7" s="97">
        <f t="shared" si="4"/>
        <v>-2406.2831927247189</v>
      </c>
      <c r="U7" s="97">
        <f>T7*(1+$R$7)</f>
        <v>-3007.8954823841386</v>
      </c>
      <c r="V7" s="97">
        <f t="shared" ref="V7:X7" si="7">U7*(1+$R$7)</f>
        <v>-3759.9212180434101</v>
      </c>
      <c r="W7" s="97">
        <f t="shared" si="7"/>
        <v>-4699.9663547776163</v>
      </c>
      <c r="X7" s="97">
        <f t="shared" si="7"/>
        <v>-5875.0389848691129</v>
      </c>
    </row>
    <row r="8" spans="2:24" ht="16.2" x14ac:dyDescent="0.35">
      <c r="B8" s="6" t="s">
        <v>60</v>
      </c>
      <c r="C8" s="8">
        <v>16426</v>
      </c>
      <c r="D8" s="8">
        <v>17144</v>
      </c>
      <c r="E8" s="8">
        <v>23270</v>
      </c>
      <c r="F8" s="8">
        <v>23263</v>
      </c>
      <c r="G8" s="8">
        <v>26461</v>
      </c>
      <c r="H8" s="8">
        <v>29281</v>
      </c>
      <c r="I8" s="8">
        <v>35663</v>
      </c>
      <c r="J8" s="8">
        <v>36985</v>
      </c>
      <c r="K8" s="8">
        <v>38902</v>
      </c>
      <c r="L8" s="8">
        <v>41688</v>
      </c>
      <c r="M8" s="8">
        <v>44994</v>
      </c>
      <c r="N8" s="8">
        <v>48013</v>
      </c>
      <c r="P8" s="93">
        <f t="shared" si="1"/>
        <v>6.7097835266924477E-2</v>
      </c>
      <c r="Q8" s="93">
        <f t="shared" si="2"/>
        <v>7.9303396660909617E-2</v>
      </c>
      <c r="R8" s="99">
        <f t="shared" si="3"/>
        <v>7.3200615963917054E-2</v>
      </c>
      <c r="S8" s="93"/>
      <c r="T8" s="98">
        <f t="shared" si="4"/>
        <v>51527.581174275554</v>
      </c>
      <c r="U8" s="98">
        <f>T8*(1+$R$8)</f>
        <v>55299.431855363262</v>
      </c>
      <c r="V8" s="98">
        <f t="shared" ref="V8:X8" si="8">U8*(1+$R$8)</f>
        <v>59347.384329630513</v>
      </c>
      <c r="W8" s="98">
        <f t="shared" si="8"/>
        <v>63691.649418406792</v>
      </c>
      <c r="X8" s="98">
        <f t="shared" si="8"/>
        <v>68353.917387592039</v>
      </c>
    </row>
    <row r="9" spans="2:24" x14ac:dyDescent="0.3">
      <c r="B9" s="6" t="s">
        <v>61</v>
      </c>
      <c r="C9" s="31">
        <v>1.1000000000000001</v>
      </c>
      <c r="D9" s="31">
        <v>0.87</v>
      </c>
      <c r="E9" s="31">
        <v>1.03</v>
      </c>
      <c r="F9" s="31">
        <v>1</v>
      </c>
      <c r="G9" s="31">
        <v>0.98</v>
      </c>
      <c r="H9" s="31">
        <v>0.91</v>
      </c>
      <c r="I9" s="31">
        <v>1.03</v>
      </c>
      <c r="J9" s="31">
        <v>0.97</v>
      </c>
      <c r="K9" s="31">
        <v>0.93</v>
      </c>
      <c r="L9" s="31">
        <v>0.88</v>
      </c>
      <c r="M9" s="31">
        <v>0.96</v>
      </c>
      <c r="N9" s="31">
        <v>0.92</v>
      </c>
    </row>
    <row r="11" spans="2:24" ht="16.2" x14ac:dyDescent="0.35">
      <c r="B11" s="115" t="s">
        <v>144</v>
      </c>
    </row>
    <row r="12" spans="2:24" ht="16.2" x14ac:dyDescent="0.35">
      <c r="B12" s="113" t="s">
        <v>43</v>
      </c>
      <c r="C12" s="114">
        <v>-2949</v>
      </c>
      <c r="D12" s="114">
        <v>-1987</v>
      </c>
      <c r="E12" s="114">
        <v>-1989</v>
      </c>
      <c r="F12" s="114">
        <v>-1862</v>
      </c>
      <c r="G12" s="114">
        <v>-2231</v>
      </c>
      <c r="H12" s="114">
        <v>-3249</v>
      </c>
      <c r="I12" s="114">
        <v>-3176</v>
      </c>
      <c r="J12" s="114">
        <v>-2995</v>
      </c>
      <c r="K12" s="114">
        <v>-3100</v>
      </c>
      <c r="L12" s="114">
        <v>-2674</v>
      </c>
      <c r="M12" s="114">
        <v>-3937</v>
      </c>
      <c r="N12" s="114">
        <v>-4146</v>
      </c>
      <c r="P12" s="93">
        <f>(N12-M12)/M12</f>
        <v>5.3086106172212343E-2</v>
      </c>
      <c r="Q12" s="93">
        <f>(M12-L12)/L12</f>
        <v>0.47232610321615559</v>
      </c>
      <c r="R12" s="99">
        <f>AVERAGE(P12:Q12)</f>
        <v>0.26270610469418398</v>
      </c>
      <c r="T12" s="96">
        <f>N12*(1+$R$12)</f>
        <v>-5235.1795100620875</v>
      </c>
      <c r="U12" s="96">
        <f>T12*(1+$R$12)</f>
        <v>-6610.4931265253053</v>
      </c>
      <c r="V12" s="96">
        <f t="shared" ref="V12:X12" si="9">U12*(1+$R$12)</f>
        <v>-8347.1100259024461</v>
      </c>
      <c r="W12" s="96">
        <f t="shared" si="9"/>
        <v>-10539.946786261047</v>
      </c>
      <c r="X12" s="96">
        <f t="shared" si="9"/>
        <v>-13308.85515016367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9808-61FC-40D5-9C07-35CA8320A184}">
  <dimension ref="B2:N33"/>
  <sheetViews>
    <sheetView zoomScaleNormal="100" workbookViewId="0"/>
  </sheetViews>
  <sheetFormatPr defaultRowHeight="15.6" x14ac:dyDescent="0.3"/>
  <cols>
    <col min="1" max="1" width="3.5546875" style="19" customWidth="1"/>
    <col min="2" max="2" width="33.33203125" style="32" bestFit="1" customWidth="1"/>
    <col min="3" max="3" width="10.33203125" style="19" bestFit="1" customWidth="1"/>
    <col min="4" max="5" width="11.44140625" style="19" bestFit="1" customWidth="1"/>
    <col min="6" max="7" width="10.6640625" style="19" bestFit="1" customWidth="1"/>
    <col min="8" max="10" width="10.33203125" style="19" bestFit="1" customWidth="1"/>
    <col min="11" max="14" width="11.44140625" style="19" bestFit="1" customWidth="1"/>
    <col min="15" max="16384" width="8.88671875" style="19"/>
  </cols>
  <sheetData>
    <row r="2" spans="2:14" ht="18" x14ac:dyDescent="0.3">
      <c r="B2" s="56" t="s">
        <v>110</v>
      </c>
    </row>
    <row r="3" spans="2:14" ht="16.2" x14ac:dyDescent="0.3">
      <c r="B3" s="37"/>
      <c r="C3" s="28">
        <v>42064</v>
      </c>
      <c r="D3" s="28">
        <v>42430</v>
      </c>
      <c r="E3" s="28">
        <v>42795</v>
      </c>
      <c r="F3" s="28">
        <v>43160</v>
      </c>
      <c r="G3" s="28">
        <v>43525</v>
      </c>
      <c r="H3" s="28">
        <v>43891</v>
      </c>
      <c r="I3" s="28">
        <v>44256</v>
      </c>
      <c r="J3" s="28">
        <v>44621</v>
      </c>
      <c r="K3" s="28">
        <v>44986</v>
      </c>
      <c r="L3" s="28">
        <v>45352</v>
      </c>
      <c r="M3" s="28">
        <v>45717</v>
      </c>
      <c r="N3" s="28">
        <v>46082</v>
      </c>
    </row>
    <row r="4" spans="2:14" ht="16.2" thickBot="1" x14ac:dyDescent="0.35">
      <c r="B4" s="38" t="s">
        <v>62</v>
      </c>
      <c r="C4" s="18">
        <v>19369</v>
      </c>
      <c r="D4" s="18">
        <v>19109</v>
      </c>
      <c r="E4" s="18">
        <v>25223</v>
      </c>
      <c r="F4" s="18">
        <v>25067</v>
      </c>
      <c r="G4" s="18">
        <v>28593</v>
      </c>
      <c r="H4" s="18">
        <v>32369</v>
      </c>
      <c r="I4" s="18">
        <v>38802</v>
      </c>
      <c r="J4" s="18">
        <v>39949</v>
      </c>
      <c r="K4" s="18">
        <v>41965</v>
      </c>
      <c r="L4" s="18">
        <v>44338</v>
      </c>
      <c r="M4" s="18">
        <v>48908</v>
      </c>
      <c r="N4" s="18">
        <v>52094</v>
      </c>
    </row>
    <row r="5" spans="2:14" x14ac:dyDescent="0.3">
      <c r="B5" s="29" t="s">
        <v>35</v>
      </c>
      <c r="C5" s="30">
        <v>26103</v>
      </c>
      <c r="D5" s="30">
        <v>31631</v>
      </c>
      <c r="E5" s="30">
        <v>33800</v>
      </c>
      <c r="F5" s="30">
        <v>32885</v>
      </c>
      <c r="G5" s="30">
        <v>40720</v>
      </c>
      <c r="H5" s="30">
        <v>42882</v>
      </c>
      <c r="I5" s="30">
        <v>47031</v>
      </c>
      <c r="J5" s="30">
        <v>54204</v>
      </c>
      <c r="K5" s="30">
        <v>59148</v>
      </c>
      <c r="L5" s="30">
        <v>63709</v>
      </c>
      <c r="M5" s="30">
        <v>67853</v>
      </c>
      <c r="N5" s="30">
        <v>68688</v>
      </c>
    </row>
    <row r="6" spans="2:14" x14ac:dyDescent="0.3">
      <c r="B6" s="24" t="s">
        <v>36</v>
      </c>
      <c r="C6" s="12">
        <v>-2158</v>
      </c>
      <c r="D6" s="12">
        <v>-2936</v>
      </c>
      <c r="E6" s="16">
        <v>680</v>
      </c>
      <c r="F6" s="12">
        <v>-1833</v>
      </c>
      <c r="G6" s="12">
        <v>-2883</v>
      </c>
      <c r="H6" s="12">
        <v>-3295</v>
      </c>
      <c r="I6" s="12">
        <v>1059</v>
      </c>
      <c r="J6" s="12">
        <v>-5144</v>
      </c>
      <c r="K6" s="12">
        <v>-7683</v>
      </c>
      <c r="L6" s="12">
        <v>-3332</v>
      </c>
      <c r="M6" s="12">
        <v>-5228</v>
      </c>
      <c r="N6" s="12">
        <v>-5248</v>
      </c>
    </row>
    <row r="7" spans="2:14" x14ac:dyDescent="0.3">
      <c r="B7" s="24" t="s">
        <v>37</v>
      </c>
      <c r="C7" s="16">
        <v>-1</v>
      </c>
      <c r="D7" s="16">
        <v>0</v>
      </c>
      <c r="E7" s="16">
        <v>0</v>
      </c>
      <c r="F7" s="16">
        <v>-5</v>
      </c>
      <c r="G7" s="16">
        <v>16</v>
      </c>
      <c r="H7" s="16">
        <v>5</v>
      </c>
      <c r="I7" s="16">
        <v>-3</v>
      </c>
      <c r="J7" s="16">
        <v>-12</v>
      </c>
      <c r="K7" s="16">
        <v>-8</v>
      </c>
      <c r="L7" s="16">
        <v>0</v>
      </c>
      <c r="M7" s="16">
        <v>7</v>
      </c>
      <c r="N7" s="16">
        <v>-8</v>
      </c>
    </row>
    <row r="8" spans="2:14" x14ac:dyDescent="0.3">
      <c r="B8" s="24" t="s">
        <v>38</v>
      </c>
      <c r="C8" s="16">
        <v>0</v>
      </c>
      <c r="D8" s="12">
        <v>-2039</v>
      </c>
      <c r="E8" s="16">
        <v>-201</v>
      </c>
      <c r="F8" s="16">
        <v>-346</v>
      </c>
      <c r="G8" s="12">
        <v>1496</v>
      </c>
      <c r="H8" s="16">
        <v>446</v>
      </c>
      <c r="I8" s="16">
        <v>-93</v>
      </c>
      <c r="J8" s="16">
        <v>186</v>
      </c>
      <c r="K8" s="12">
        <v>2036</v>
      </c>
      <c r="L8" s="16">
        <v>-632</v>
      </c>
      <c r="M8" s="12">
        <v>3718</v>
      </c>
      <c r="N8" s="12">
        <v>-1105</v>
      </c>
    </row>
    <row r="9" spans="2:14" x14ac:dyDescent="0.3">
      <c r="B9" s="24" t="s">
        <v>39</v>
      </c>
      <c r="C9" s="16">
        <v>-712</v>
      </c>
      <c r="D9" s="16">
        <v>-798</v>
      </c>
      <c r="E9" s="16">
        <v>0</v>
      </c>
      <c r="F9" s="16">
        <v>0</v>
      </c>
      <c r="G9" s="16">
        <v>-499</v>
      </c>
      <c r="H9" s="16">
        <v>0</v>
      </c>
      <c r="I9" s="16">
        <v>-17</v>
      </c>
      <c r="J9" s="16">
        <v>-116</v>
      </c>
      <c r="K9" s="16">
        <v>261</v>
      </c>
      <c r="L9" s="16">
        <v>-301</v>
      </c>
      <c r="M9" s="16">
        <v>-738</v>
      </c>
      <c r="N9" s="16">
        <v>197</v>
      </c>
    </row>
    <row r="10" spans="2:14" ht="16.2" thickBot="1" x14ac:dyDescent="0.35">
      <c r="B10" s="24" t="s">
        <v>40</v>
      </c>
      <c r="C10" s="12">
        <v>3618</v>
      </c>
      <c r="D10" s="16">
        <v>829</v>
      </c>
      <c r="E10" s="12">
        <v>-1110</v>
      </c>
      <c r="F10" s="12">
        <v>1975</v>
      </c>
      <c r="G10" s="16">
        <v>-299</v>
      </c>
      <c r="H10" s="12">
        <v>-1823</v>
      </c>
      <c r="I10" s="16">
        <v>-83</v>
      </c>
      <c r="J10" s="12">
        <v>2317</v>
      </c>
      <c r="K10" s="12">
        <v>1177</v>
      </c>
      <c r="L10" s="12">
        <v>-2617</v>
      </c>
      <c r="M10" s="12">
        <v>-1118</v>
      </c>
      <c r="N10" s="12">
        <v>3954</v>
      </c>
    </row>
    <row r="11" spans="2:14" x14ac:dyDescent="0.3">
      <c r="B11" s="23" t="s">
        <v>41</v>
      </c>
      <c r="C11" s="25">
        <v>747</v>
      </c>
      <c r="D11" s="22">
        <v>-4944</v>
      </c>
      <c r="E11" s="25">
        <v>-631</v>
      </c>
      <c r="F11" s="25">
        <v>-209</v>
      </c>
      <c r="G11" s="22">
        <v>-2169</v>
      </c>
      <c r="H11" s="22">
        <v>-4667</v>
      </c>
      <c r="I11" s="25">
        <v>863</v>
      </c>
      <c r="J11" s="22">
        <v>-2769</v>
      </c>
      <c r="K11" s="22">
        <v>-4217</v>
      </c>
      <c r="L11" s="22">
        <v>-6882</v>
      </c>
      <c r="M11" s="22">
        <v>-3359</v>
      </c>
      <c r="N11" s="22">
        <v>-2210</v>
      </c>
    </row>
    <row r="12" spans="2:14" x14ac:dyDescent="0.3">
      <c r="B12" s="24" t="s">
        <v>42</v>
      </c>
      <c r="C12" s="12">
        <v>-7482</v>
      </c>
      <c r="D12" s="12">
        <v>-7578</v>
      </c>
      <c r="E12" s="12">
        <v>-7946</v>
      </c>
      <c r="F12" s="12">
        <v>-7609</v>
      </c>
      <c r="G12" s="12">
        <v>-9958</v>
      </c>
      <c r="H12" s="12">
        <v>-5846</v>
      </c>
      <c r="I12" s="12">
        <v>-9092</v>
      </c>
      <c r="J12" s="12">
        <v>-11486</v>
      </c>
      <c r="K12" s="12">
        <v>-12966</v>
      </c>
      <c r="L12" s="12">
        <v>-12489</v>
      </c>
      <c r="M12" s="12">
        <v>-15586</v>
      </c>
      <c r="N12" s="12">
        <v>-14384</v>
      </c>
    </row>
    <row r="13" spans="2:14" ht="16.2" thickBot="1" x14ac:dyDescent="0.35">
      <c r="B13" s="35" t="s">
        <v>63</v>
      </c>
      <c r="C13" s="18">
        <v>-1807</v>
      </c>
      <c r="D13" s="18">
        <v>-5010</v>
      </c>
      <c r="E13" s="18">
        <v>-16895</v>
      </c>
      <c r="F13" s="18">
        <v>3104</v>
      </c>
      <c r="G13" s="18">
        <v>1645</v>
      </c>
      <c r="H13" s="18">
        <v>8968</v>
      </c>
      <c r="I13" s="18">
        <v>-7956</v>
      </c>
      <c r="J13" s="36">
        <v>-738</v>
      </c>
      <c r="K13" s="36">
        <v>548</v>
      </c>
      <c r="L13" s="18">
        <v>6091</v>
      </c>
      <c r="M13" s="18">
        <v>-2144</v>
      </c>
      <c r="N13" s="18">
        <v>-11886</v>
      </c>
    </row>
    <row r="14" spans="2:14" x14ac:dyDescent="0.3">
      <c r="B14" s="24" t="s">
        <v>43</v>
      </c>
      <c r="C14" s="12">
        <v>-2949</v>
      </c>
      <c r="D14" s="12">
        <v>-1987</v>
      </c>
      <c r="E14" s="12">
        <v>-1989</v>
      </c>
      <c r="F14" s="12">
        <v>-1862</v>
      </c>
      <c r="G14" s="12">
        <v>-2231</v>
      </c>
      <c r="H14" s="12">
        <v>-3249</v>
      </c>
      <c r="I14" s="12">
        <v>-3176</v>
      </c>
      <c r="J14" s="12">
        <v>-2995</v>
      </c>
      <c r="K14" s="12">
        <v>-3100</v>
      </c>
      <c r="L14" s="12">
        <v>-2674</v>
      </c>
      <c r="M14" s="12">
        <v>-3937</v>
      </c>
      <c r="N14" s="12">
        <v>-4146</v>
      </c>
    </row>
    <row r="15" spans="2:14" x14ac:dyDescent="0.3">
      <c r="B15" s="24" t="s">
        <v>44</v>
      </c>
      <c r="C15" s="16">
        <v>7</v>
      </c>
      <c r="D15" s="16">
        <v>22</v>
      </c>
      <c r="E15" s="16">
        <v>36</v>
      </c>
      <c r="F15" s="16">
        <v>58</v>
      </c>
      <c r="G15" s="16">
        <v>99</v>
      </c>
      <c r="H15" s="16">
        <v>161</v>
      </c>
      <c r="I15" s="16">
        <v>37</v>
      </c>
      <c r="J15" s="16">
        <v>31</v>
      </c>
      <c r="K15" s="16">
        <v>37</v>
      </c>
      <c r="L15" s="16">
        <v>24</v>
      </c>
      <c r="M15" s="16">
        <v>23</v>
      </c>
      <c r="N15" s="16">
        <v>65</v>
      </c>
    </row>
    <row r="16" spans="2:14" x14ac:dyDescent="0.3">
      <c r="B16" s="24" t="s">
        <v>45</v>
      </c>
      <c r="C16" s="12">
        <v>-67371</v>
      </c>
      <c r="D16" s="12">
        <v>-116847</v>
      </c>
      <c r="E16" s="12">
        <v>-121423</v>
      </c>
      <c r="F16" s="12">
        <v>-97473</v>
      </c>
      <c r="G16" s="12">
        <v>-96751</v>
      </c>
      <c r="H16" s="12">
        <v>-80002</v>
      </c>
      <c r="I16" s="12">
        <v>-54462</v>
      </c>
      <c r="J16" s="12">
        <v>-75374</v>
      </c>
      <c r="K16" s="12">
        <v>-129745</v>
      </c>
      <c r="L16" s="12">
        <v>-141011</v>
      </c>
      <c r="M16" s="12">
        <v>-145962</v>
      </c>
      <c r="N16" s="12">
        <v>-152114</v>
      </c>
    </row>
    <row r="17" spans="2:14" x14ac:dyDescent="0.3">
      <c r="B17" s="24" t="s">
        <v>46</v>
      </c>
      <c r="C17" s="12">
        <v>69361</v>
      </c>
      <c r="D17" s="12">
        <v>97154</v>
      </c>
      <c r="E17" s="12">
        <v>102798</v>
      </c>
      <c r="F17" s="12">
        <v>103482</v>
      </c>
      <c r="G17" s="12">
        <v>104133</v>
      </c>
      <c r="H17" s="12">
        <v>84089</v>
      </c>
      <c r="I17" s="12">
        <v>51630</v>
      </c>
      <c r="J17" s="12">
        <v>73852</v>
      </c>
      <c r="K17" s="12">
        <v>122687</v>
      </c>
      <c r="L17" s="12">
        <v>147204</v>
      </c>
      <c r="M17" s="12">
        <v>147695</v>
      </c>
      <c r="N17" s="12">
        <v>148023</v>
      </c>
    </row>
    <row r="18" spans="2:14" x14ac:dyDescent="0.3">
      <c r="B18" s="24" t="s">
        <v>47</v>
      </c>
      <c r="C18" s="12">
        <v>1994</v>
      </c>
      <c r="D18" s="12">
        <v>1816</v>
      </c>
      <c r="E18" s="12">
        <v>1788</v>
      </c>
      <c r="F18" s="12">
        <v>2623</v>
      </c>
      <c r="G18" s="12">
        <v>2619</v>
      </c>
      <c r="H18" s="12">
        <v>3729</v>
      </c>
      <c r="I18" s="12">
        <v>2730</v>
      </c>
      <c r="J18" s="12">
        <v>2700</v>
      </c>
      <c r="K18" s="12">
        <v>3080</v>
      </c>
      <c r="L18" s="12">
        <v>2990</v>
      </c>
      <c r="M18" s="12">
        <v>3056</v>
      </c>
      <c r="N18" s="12">
        <v>3008</v>
      </c>
    </row>
    <row r="19" spans="2:14" x14ac:dyDescent="0.3">
      <c r="B19" s="24" t="s">
        <v>48</v>
      </c>
      <c r="C19" s="16">
        <v>9</v>
      </c>
      <c r="D19" s="16">
        <v>11</v>
      </c>
      <c r="E19" s="16">
        <v>1</v>
      </c>
      <c r="F19" s="16">
        <v>9</v>
      </c>
      <c r="G19" s="16">
        <v>18</v>
      </c>
      <c r="H19" s="16">
        <v>8</v>
      </c>
      <c r="I19" s="16">
        <v>8</v>
      </c>
      <c r="J19" s="16">
        <v>4</v>
      </c>
      <c r="K19" s="16">
        <v>13</v>
      </c>
      <c r="L19" s="16">
        <v>26</v>
      </c>
      <c r="M19" s="16">
        <v>40</v>
      </c>
      <c r="N19" s="16">
        <v>84</v>
      </c>
    </row>
    <row r="20" spans="2:14" x14ac:dyDescent="0.3">
      <c r="B20" s="24" t="s">
        <v>49</v>
      </c>
      <c r="C20" s="16">
        <v>-264</v>
      </c>
      <c r="D20" s="16">
        <v>0</v>
      </c>
      <c r="E20" s="16">
        <v>0</v>
      </c>
      <c r="F20" s="16">
        <v>0</v>
      </c>
      <c r="G20" s="16">
        <v>-50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2">
        <v>-6768</v>
      </c>
    </row>
    <row r="21" spans="2:14" x14ac:dyDescent="0.3">
      <c r="B21" s="24" t="s">
        <v>50</v>
      </c>
      <c r="C21" s="16">
        <v>155</v>
      </c>
      <c r="D21" s="12">
        <v>-1460</v>
      </c>
      <c r="E21" s="12">
        <v>1619</v>
      </c>
      <c r="F21" s="12">
        <v>-2230</v>
      </c>
      <c r="G21" s="12">
        <v>-2927</v>
      </c>
      <c r="H21" s="16">
        <v>-473</v>
      </c>
      <c r="I21" s="12">
        <v>-3058</v>
      </c>
      <c r="J21" s="12">
        <v>4879</v>
      </c>
      <c r="K21" s="12">
        <v>5361</v>
      </c>
      <c r="L21" s="16">
        <v>846</v>
      </c>
      <c r="M21" s="16">
        <v>170</v>
      </c>
      <c r="N21" s="12">
        <v>-1500</v>
      </c>
    </row>
    <row r="22" spans="2:14" x14ac:dyDescent="0.3">
      <c r="B22" s="24" t="s">
        <v>51</v>
      </c>
      <c r="C22" s="12">
        <v>-2750</v>
      </c>
      <c r="D22" s="12">
        <v>16281</v>
      </c>
      <c r="E22" s="16">
        <v>275</v>
      </c>
      <c r="F22" s="12">
        <v>-1503</v>
      </c>
      <c r="G22" s="12">
        <v>-3265</v>
      </c>
      <c r="H22" s="12">
        <v>4705</v>
      </c>
      <c r="I22" s="12">
        <v>-1665</v>
      </c>
      <c r="J22" s="12">
        <v>-3835</v>
      </c>
      <c r="K22" s="12">
        <v>2215</v>
      </c>
      <c r="L22" s="12">
        <v>-1314</v>
      </c>
      <c r="M22" s="12">
        <v>-3229</v>
      </c>
      <c r="N22" s="12">
        <v>1462</v>
      </c>
    </row>
    <row r="23" spans="2:14" ht="16.2" thickBot="1" x14ac:dyDescent="0.35">
      <c r="B23" s="35" t="s">
        <v>64</v>
      </c>
      <c r="C23" s="18">
        <v>-17168</v>
      </c>
      <c r="D23" s="18">
        <v>-9666</v>
      </c>
      <c r="E23" s="18">
        <v>-11026</v>
      </c>
      <c r="F23" s="18">
        <v>-26885</v>
      </c>
      <c r="G23" s="18">
        <v>-27897</v>
      </c>
      <c r="H23" s="18">
        <v>-39915</v>
      </c>
      <c r="I23" s="18">
        <v>-32634</v>
      </c>
      <c r="J23" s="18">
        <v>-33581</v>
      </c>
      <c r="K23" s="18">
        <v>-47878</v>
      </c>
      <c r="L23" s="18">
        <v>-48536</v>
      </c>
      <c r="M23" s="18">
        <v>-47438</v>
      </c>
      <c r="N23" s="18">
        <v>-42133</v>
      </c>
    </row>
    <row r="24" spans="2:14" x14ac:dyDescent="0.3">
      <c r="B24" s="24" t="s">
        <v>52</v>
      </c>
      <c r="C24" s="16">
        <v>0</v>
      </c>
      <c r="D24" s="16">
        <v>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18</v>
      </c>
      <c r="L24" s="16">
        <v>425</v>
      </c>
      <c r="M24" s="16">
        <v>0</v>
      </c>
      <c r="N24" s="16">
        <v>0</v>
      </c>
    </row>
    <row r="25" spans="2:14" x14ac:dyDescent="0.3">
      <c r="B25" s="24" t="s">
        <v>53</v>
      </c>
      <c r="C25" s="16">
        <v>43</v>
      </c>
      <c r="D25" s="16">
        <v>0</v>
      </c>
      <c r="E25" s="16">
        <v>87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</row>
    <row r="26" spans="2:14" x14ac:dyDescent="0.3">
      <c r="B26" s="24" t="s">
        <v>54</v>
      </c>
      <c r="C26" s="16">
        <v>0</v>
      </c>
      <c r="D26" s="16">
        <v>-73</v>
      </c>
      <c r="E26" s="16">
        <v>0</v>
      </c>
      <c r="F26" s="16">
        <v>-19</v>
      </c>
      <c r="G26" s="16">
        <v>-181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</row>
    <row r="27" spans="2:14" x14ac:dyDescent="0.3">
      <c r="B27" s="24" t="s">
        <v>55</v>
      </c>
      <c r="C27" s="16">
        <v>-105</v>
      </c>
      <c r="D27" s="16">
        <v>-20</v>
      </c>
      <c r="E27" s="16">
        <v>-20</v>
      </c>
      <c r="F27" s="16">
        <v>-40</v>
      </c>
      <c r="G27" s="16">
        <v>-186</v>
      </c>
      <c r="H27" s="16">
        <v>-924</v>
      </c>
      <c r="I27" s="16">
        <v>-634</v>
      </c>
      <c r="J27" s="16">
        <v>-698</v>
      </c>
      <c r="K27" s="16">
        <v>-779</v>
      </c>
      <c r="L27" s="16">
        <v>-699</v>
      </c>
      <c r="M27" s="16">
        <v>-840</v>
      </c>
      <c r="N27" s="16">
        <v>-901</v>
      </c>
    </row>
    <row r="28" spans="2:14" x14ac:dyDescent="0.3">
      <c r="B28" s="24" t="s">
        <v>56</v>
      </c>
      <c r="C28" s="12">
        <v>-17106</v>
      </c>
      <c r="D28" s="12">
        <v>-9515</v>
      </c>
      <c r="E28" s="12">
        <v>-10973</v>
      </c>
      <c r="F28" s="12">
        <v>-10760</v>
      </c>
      <c r="G28" s="12">
        <v>-11472</v>
      </c>
      <c r="H28" s="12">
        <v>-37702</v>
      </c>
      <c r="I28" s="12">
        <v>-10907</v>
      </c>
      <c r="J28" s="12">
        <v>-13375</v>
      </c>
      <c r="K28" s="12">
        <v>-41410</v>
      </c>
      <c r="L28" s="12">
        <v>-25218</v>
      </c>
      <c r="M28" s="12">
        <v>-44962</v>
      </c>
      <c r="N28" s="12">
        <v>-39571</v>
      </c>
    </row>
    <row r="29" spans="2:14" x14ac:dyDescent="0.3">
      <c r="B29" s="24" t="s">
        <v>57</v>
      </c>
      <c r="C29" s="16">
        <v>0</v>
      </c>
      <c r="D29" s="16">
        <v>-60</v>
      </c>
      <c r="E29" s="16">
        <v>-66</v>
      </c>
      <c r="F29" s="16">
        <v>-24</v>
      </c>
      <c r="G29" s="16">
        <v>-13</v>
      </c>
      <c r="H29" s="12">
        <v>-1062</v>
      </c>
      <c r="I29" s="12">
        <v>-1336</v>
      </c>
      <c r="J29" s="12">
        <v>-1417</v>
      </c>
      <c r="K29" s="12">
        <v>-1515</v>
      </c>
      <c r="L29" s="12">
        <v>-1614</v>
      </c>
      <c r="M29" s="12">
        <v>-1664</v>
      </c>
      <c r="N29" s="12">
        <v>-1861</v>
      </c>
    </row>
    <row r="30" spans="2:14" x14ac:dyDescent="0.3">
      <c r="B30" s="24" t="s">
        <v>58</v>
      </c>
      <c r="C30" s="16">
        <v>0</v>
      </c>
      <c r="D30" s="16">
        <v>0</v>
      </c>
      <c r="E30" s="16">
        <v>-54</v>
      </c>
      <c r="F30" s="12">
        <v>-16042</v>
      </c>
      <c r="G30" s="12">
        <v>-16045</v>
      </c>
      <c r="H30" s="16">
        <v>-227</v>
      </c>
      <c r="I30" s="12">
        <v>-19757</v>
      </c>
      <c r="J30" s="12">
        <v>-18091</v>
      </c>
      <c r="K30" s="12">
        <v>-4192</v>
      </c>
      <c r="L30" s="12">
        <v>-21430</v>
      </c>
      <c r="M30" s="16">
        <v>28</v>
      </c>
      <c r="N30" s="16">
        <v>200</v>
      </c>
    </row>
    <row r="31" spans="2:14" ht="16.2" thickBot="1" x14ac:dyDescent="0.35">
      <c r="B31" s="35" t="s">
        <v>59</v>
      </c>
      <c r="C31" s="36">
        <v>394</v>
      </c>
      <c r="D31" s="18">
        <v>4433</v>
      </c>
      <c r="E31" s="18">
        <v>-2698</v>
      </c>
      <c r="F31" s="18">
        <v>1286</v>
      </c>
      <c r="G31" s="18">
        <v>2341</v>
      </c>
      <c r="H31" s="18">
        <v>1422</v>
      </c>
      <c r="I31" s="18">
        <v>-1788</v>
      </c>
      <c r="J31" s="18">
        <v>5630</v>
      </c>
      <c r="K31" s="18">
        <v>-5365</v>
      </c>
      <c r="L31" s="18">
        <v>1893</v>
      </c>
      <c r="M31" s="36">
        <v>-674</v>
      </c>
      <c r="N31" s="18">
        <v>-1925</v>
      </c>
    </row>
    <row r="32" spans="2:14" x14ac:dyDescent="0.3">
      <c r="B32" s="34" t="s">
        <v>60</v>
      </c>
      <c r="C32" s="8">
        <v>16426</v>
      </c>
      <c r="D32" s="8">
        <v>17144</v>
      </c>
      <c r="E32" s="8">
        <v>23270</v>
      </c>
      <c r="F32" s="8">
        <v>23263</v>
      </c>
      <c r="G32" s="8">
        <v>26461</v>
      </c>
      <c r="H32" s="8">
        <v>29281</v>
      </c>
      <c r="I32" s="8">
        <v>35663</v>
      </c>
      <c r="J32" s="8">
        <v>36985</v>
      </c>
      <c r="K32" s="8">
        <v>38902</v>
      </c>
      <c r="L32" s="8">
        <v>41688</v>
      </c>
      <c r="M32" s="8">
        <v>44994</v>
      </c>
      <c r="N32" s="8">
        <v>48013</v>
      </c>
    </row>
    <row r="33" spans="2:14" x14ac:dyDescent="0.3">
      <c r="B33" s="34" t="s">
        <v>61</v>
      </c>
      <c r="C33" s="31">
        <v>1.1000000000000001</v>
      </c>
      <c r="D33" s="31">
        <v>0.87</v>
      </c>
      <c r="E33" s="31">
        <v>1.03</v>
      </c>
      <c r="F33" s="31">
        <v>1</v>
      </c>
      <c r="G33" s="31">
        <v>0.98</v>
      </c>
      <c r="H33" s="31">
        <v>0.91</v>
      </c>
      <c r="I33" s="31">
        <v>1.03</v>
      </c>
      <c r="J33" s="31">
        <v>0.97</v>
      </c>
      <c r="K33" s="31">
        <v>0.93</v>
      </c>
      <c r="L33" s="31">
        <v>0.88</v>
      </c>
      <c r="M33" s="31">
        <v>0.96</v>
      </c>
      <c r="N33" s="31">
        <v>0.92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B6B1-6917-469C-87CA-3ED2AD9C0EB1}">
  <dimension ref="B2:U26"/>
  <sheetViews>
    <sheetView zoomScaleNormal="100" workbookViewId="0"/>
  </sheetViews>
  <sheetFormatPr defaultRowHeight="15.6" x14ac:dyDescent="0.3"/>
  <cols>
    <col min="1" max="1" width="2.5546875" style="60" customWidth="1"/>
    <col min="2" max="2" width="27" style="60" bestFit="1" customWidth="1"/>
    <col min="3" max="14" width="13.33203125" style="60" bestFit="1" customWidth="1"/>
    <col min="15" max="15" width="9.44140625" style="60" bestFit="1" customWidth="1"/>
    <col min="16" max="16" width="9.44140625" style="60" customWidth="1"/>
    <col min="17" max="19" width="9.44140625" style="60" bestFit="1" customWidth="1"/>
    <col min="20" max="20" width="11.5546875" style="60" bestFit="1" customWidth="1"/>
    <col min="21" max="16384" width="8.88671875" style="60"/>
  </cols>
  <sheetData>
    <row r="2" spans="2:21" ht="18" x14ac:dyDescent="0.35">
      <c r="B2" s="61" t="s">
        <v>123</v>
      </c>
    </row>
    <row r="3" spans="2:21" ht="16.8" thickBot="1" x14ac:dyDescent="0.35">
      <c r="B3" s="33"/>
      <c r="C3" s="27">
        <v>42064</v>
      </c>
      <c r="D3" s="27">
        <v>42430</v>
      </c>
      <c r="E3" s="27">
        <v>42795</v>
      </c>
      <c r="F3" s="27">
        <v>43160</v>
      </c>
      <c r="G3" s="27">
        <v>43525</v>
      </c>
      <c r="H3" s="27">
        <v>43891</v>
      </c>
      <c r="I3" s="27">
        <v>44256</v>
      </c>
      <c r="J3" s="27">
        <v>44621</v>
      </c>
      <c r="K3" s="27">
        <v>44986</v>
      </c>
      <c r="L3" s="27">
        <v>45352</v>
      </c>
      <c r="M3" s="27">
        <v>45717</v>
      </c>
      <c r="N3" s="27">
        <v>46082</v>
      </c>
      <c r="O3" s="27">
        <v>46447</v>
      </c>
      <c r="P3" s="27">
        <v>46813</v>
      </c>
      <c r="Q3" s="27">
        <v>47178</v>
      </c>
      <c r="R3" s="27">
        <v>47543</v>
      </c>
      <c r="S3" s="27">
        <v>47908</v>
      </c>
    </row>
    <row r="4" spans="2:21" ht="16.2" x14ac:dyDescent="0.35">
      <c r="B4" s="62" t="s">
        <v>120</v>
      </c>
      <c r="O4" s="101"/>
      <c r="P4" s="101"/>
      <c r="Q4" s="101"/>
      <c r="R4" s="101"/>
      <c r="S4" s="101"/>
    </row>
    <row r="5" spans="2:21" x14ac:dyDescent="0.3">
      <c r="B5" s="63" t="s">
        <v>69</v>
      </c>
      <c r="C5" s="64">
        <v>186</v>
      </c>
      <c r="D5" s="64">
        <v>113</v>
      </c>
      <c r="E5" s="64">
        <v>200</v>
      </c>
      <c r="F5" s="64">
        <v>181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106">
        <v>0</v>
      </c>
      <c r="P5" s="106">
        <v>0</v>
      </c>
      <c r="Q5" s="106">
        <v>0</v>
      </c>
      <c r="R5" s="106">
        <v>0</v>
      </c>
      <c r="S5" s="106">
        <v>0</v>
      </c>
    </row>
    <row r="6" spans="2:21" ht="16.2" x14ac:dyDescent="0.35">
      <c r="B6" s="63" t="s">
        <v>70</v>
      </c>
      <c r="C6" s="64">
        <v>0</v>
      </c>
      <c r="D6" s="64">
        <v>0</v>
      </c>
      <c r="E6" s="64">
        <v>0</v>
      </c>
      <c r="F6" s="64">
        <v>0</v>
      </c>
      <c r="G6" s="64">
        <v>44</v>
      </c>
      <c r="H6" s="64">
        <v>8174</v>
      </c>
      <c r="I6" s="64">
        <v>7795</v>
      </c>
      <c r="J6" s="64">
        <v>7818</v>
      </c>
      <c r="K6" s="64">
        <v>7688</v>
      </c>
      <c r="L6" s="64">
        <v>8021</v>
      </c>
      <c r="M6" s="64">
        <v>9392</v>
      </c>
      <c r="N6" s="64">
        <v>11283</v>
      </c>
      <c r="O6" s="106">
        <v>9565</v>
      </c>
      <c r="P6" s="106">
        <v>9565</v>
      </c>
      <c r="Q6" s="106">
        <v>9565</v>
      </c>
      <c r="R6" s="106">
        <v>9565</v>
      </c>
      <c r="S6" s="106">
        <v>9565</v>
      </c>
      <c r="T6" s="105"/>
    </row>
    <row r="7" spans="2:21" x14ac:dyDescent="0.3">
      <c r="B7" s="63" t="s">
        <v>73</v>
      </c>
      <c r="C7" s="64">
        <v>8831</v>
      </c>
      <c r="D7" s="64">
        <v>7541</v>
      </c>
      <c r="E7" s="64">
        <v>4905</v>
      </c>
      <c r="F7" s="64">
        <v>5094</v>
      </c>
      <c r="G7" s="64">
        <v>6292</v>
      </c>
      <c r="H7" s="64">
        <v>6740</v>
      </c>
      <c r="I7" s="64">
        <v>7860</v>
      </c>
      <c r="J7" s="64">
        <v>8045</v>
      </c>
      <c r="K7" s="64">
        <v>10515</v>
      </c>
      <c r="L7" s="64">
        <v>9981</v>
      </c>
      <c r="M7" s="64">
        <v>13909</v>
      </c>
      <c r="N7" s="64">
        <v>14808</v>
      </c>
      <c r="O7" s="101">
        <f>'P&amp;L'!T5*'Working Capital '!O23/365</f>
        <v>14073.176135433225</v>
      </c>
      <c r="P7" s="101">
        <f>'P&amp;L'!U5*'Working Capital '!P23/365</f>
        <v>14775.334156919525</v>
      </c>
      <c r="Q7" s="101">
        <f>'P&amp;L'!V5*'Working Capital '!Q23/365</f>
        <v>15512.525200261942</v>
      </c>
      <c r="R7" s="101">
        <f>'P&amp;L'!W5*'Working Capital '!R23/365</f>
        <v>16286.4971805776</v>
      </c>
      <c r="S7" s="101">
        <f>'P&amp;L'!X5*'Working Capital '!S23/365</f>
        <v>17099.085222339116</v>
      </c>
    </row>
    <row r="8" spans="2:21" x14ac:dyDescent="0.3">
      <c r="B8" s="63" t="s">
        <v>74</v>
      </c>
      <c r="C8" s="64">
        <v>131</v>
      </c>
      <c r="D8" s="64">
        <v>164</v>
      </c>
      <c r="E8" s="64">
        <v>330</v>
      </c>
      <c r="F8" s="64">
        <v>796</v>
      </c>
      <c r="G8" s="64">
        <v>575</v>
      </c>
      <c r="H8" s="64">
        <v>345</v>
      </c>
      <c r="I8" s="64">
        <v>312</v>
      </c>
      <c r="J8" s="64">
        <v>468</v>
      </c>
      <c r="K8" s="64">
        <v>543</v>
      </c>
      <c r="L8" s="64">
        <v>1841</v>
      </c>
      <c r="M8" s="64">
        <v>1896</v>
      </c>
      <c r="N8" s="64">
        <v>694</v>
      </c>
      <c r="O8" s="101">
        <f>(N8/'P&amp;L'!T4)*'P&amp;L'!T4</f>
        <v>694</v>
      </c>
      <c r="P8" s="101">
        <f>(O8/'P&amp;L'!U4)*'P&amp;L'!U4</f>
        <v>694</v>
      </c>
      <c r="Q8" s="101">
        <f>(P8/'P&amp;L'!V4)*'P&amp;L'!V4</f>
        <v>694</v>
      </c>
      <c r="R8" s="101">
        <f>(Q8/'P&amp;L'!W4)*'P&amp;L'!W4</f>
        <v>694</v>
      </c>
      <c r="S8" s="101">
        <f>(R8/'P&amp;L'!X4)*'P&amp;L'!X4</f>
        <v>694.00000000000011</v>
      </c>
    </row>
    <row r="9" spans="2:21" x14ac:dyDescent="0.3">
      <c r="B9" s="63" t="s">
        <v>75</v>
      </c>
      <c r="C9" s="64">
        <v>12236</v>
      </c>
      <c r="D9" s="64">
        <v>8914</v>
      </c>
      <c r="E9" s="64">
        <v>10229</v>
      </c>
      <c r="F9" s="64">
        <v>13459</v>
      </c>
      <c r="G9" s="64">
        <v>17073</v>
      </c>
      <c r="H9" s="64">
        <v>20119</v>
      </c>
      <c r="I9" s="64">
        <v>26917</v>
      </c>
      <c r="J9" s="64">
        <v>34747</v>
      </c>
      <c r="K9" s="64">
        <v>32907</v>
      </c>
      <c r="L9" s="64">
        <v>34310</v>
      </c>
      <c r="M9" s="64">
        <v>37681</v>
      </c>
      <c r="N9" s="64">
        <v>45904</v>
      </c>
      <c r="O9" s="101">
        <f>AVERAGE($L$9:$N$9)</f>
        <v>39298.333333333336</v>
      </c>
      <c r="P9" s="101">
        <f t="shared" ref="P9:S9" si="0">AVERAGE($L$9:$N$9)</f>
        <v>39298.333333333336</v>
      </c>
      <c r="Q9" s="101">
        <f t="shared" si="0"/>
        <v>39298.333333333336</v>
      </c>
      <c r="R9" s="101">
        <f t="shared" si="0"/>
        <v>39298.333333333336</v>
      </c>
      <c r="S9" s="101">
        <f t="shared" si="0"/>
        <v>39298.333333333336</v>
      </c>
    </row>
    <row r="10" spans="2:21" ht="16.8" thickBot="1" x14ac:dyDescent="0.35">
      <c r="B10" s="68" t="s">
        <v>121</v>
      </c>
      <c r="C10" s="69">
        <f>SUM(C5:C9)</f>
        <v>21384</v>
      </c>
      <c r="D10" s="69">
        <f t="shared" ref="D10:N10" si="1">SUM(D5:D9)</f>
        <v>16732</v>
      </c>
      <c r="E10" s="69">
        <f t="shared" si="1"/>
        <v>15664</v>
      </c>
      <c r="F10" s="69">
        <f t="shared" si="1"/>
        <v>19530</v>
      </c>
      <c r="G10" s="69">
        <f t="shared" si="1"/>
        <v>23984</v>
      </c>
      <c r="H10" s="69">
        <f t="shared" si="1"/>
        <v>35378</v>
      </c>
      <c r="I10" s="69">
        <f t="shared" si="1"/>
        <v>42884</v>
      </c>
      <c r="J10" s="69">
        <f t="shared" si="1"/>
        <v>51078</v>
      </c>
      <c r="K10" s="69">
        <f t="shared" si="1"/>
        <v>51653</v>
      </c>
      <c r="L10" s="69">
        <f t="shared" si="1"/>
        <v>54153</v>
      </c>
      <c r="M10" s="69">
        <f t="shared" si="1"/>
        <v>62878</v>
      </c>
      <c r="N10" s="69">
        <f t="shared" si="1"/>
        <v>72689</v>
      </c>
      <c r="O10" s="102">
        <f>SUM(O5:O9)</f>
        <v>63630.509468766562</v>
      </c>
      <c r="P10" s="102">
        <f t="shared" ref="P10:S10" si="2">SUM(P5:P9)</f>
        <v>64332.667490252861</v>
      </c>
      <c r="Q10" s="102">
        <f t="shared" si="2"/>
        <v>65069.858533595281</v>
      </c>
      <c r="R10" s="102">
        <f t="shared" si="2"/>
        <v>65843.830513910943</v>
      </c>
      <c r="S10" s="102">
        <f t="shared" si="2"/>
        <v>66656.418555672455</v>
      </c>
    </row>
    <row r="11" spans="2:21" x14ac:dyDescent="0.3">
      <c r="O11" s="101"/>
      <c r="P11" s="101"/>
      <c r="Q11" s="101"/>
      <c r="R11" s="101"/>
      <c r="S11" s="101"/>
    </row>
    <row r="12" spans="2:21" ht="16.2" x14ac:dyDescent="0.35">
      <c r="B12" s="62" t="s">
        <v>118</v>
      </c>
      <c r="O12" s="101"/>
      <c r="P12" s="101"/>
      <c r="Q12" s="101"/>
      <c r="R12" s="101"/>
      <c r="S12" s="101"/>
    </row>
    <row r="13" spans="2:21" ht="16.8" thickBot="1" x14ac:dyDescent="0.4">
      <c r="B13" s="63" t="s">
        <v>87</v>
      </c>
      <c r="C13" s="64">
        <v>16</v>
      </c>
      <c r="D13" s="64">
        <v>16</v>
      </c>
      <c r="E13" s="64">
        <v>21</v>
      </c>
      <c r="F13" s="64">
        <v>26</v>
      </c>
      <c r="G13" s="64">
        <v>10</v>
      </c>
      <c r="H13" s="64">
        <v>5</v>
      </c>
      <c r="I13" s="64">
        <v>8</v>
      </c>
      <c r="J13" s="64">
        <v>20</v>
      </c>
      <c r="K13" s="64">
        <v>28</v>
      </c>
      <c r="L13" s="64">
        <v>28</v>
      </c>
      <c r="M13" s="64">
        <v>21</v>
      </c>
      <c r="N13" s="64">
        <v>29</v>
      </c>
      <c r="O13" s="106">
        <f>'P&amp;L'!T4*'Working Capital '!$T$13</f>
        <v>30.532920352531029</v>
      </c>
      <c r="P13" s="106">
        <f>'P&amp;L'!U4*'Working Capital '!$T$13</f>
        <v>32.146869836344955</v>
      </c>
      <c r="Q13" s="106">
        <f>'P&amp;L'!V4*'Working Capital '!$T$13</f>
        <v>33.846131596424236</v>
      </c>
      <c r="R13" s="106">
        <f>'P&amp;L'!W4*'Working Capital '!$T$13</f>
        <v>35.63521518189328</v>
      </c>
      <c r="S13" s="106">
        <f>'P&amp;L'!X4*'Working Capital '!$T$13</f>
        <v>37.518868513588004</v>
      </c>
      <c r="T13" s="124">
        <f>N13/'P&amp;L'!N4</f>
        <v>1.0860569018916115E-4</v>
      </c>
      <c r="U13" s="60" t="s">
        <v>147</v>
      </c>
    </row>
    <row r="14" spans="2:21" x14ac:dyDescent="0.3">
      <c r="B14" s="66" t="s">
        <v>94</v>
      </c>
      <c r="C14" s="67">
        <v>20438</v>
      </c>
      <c r="D14" s="67">
        <v>24073</v>
      </c>
      <c r="E14" s="67">
        <v>22617</v>
      </c>
      <c r="F14" s="67">
        <v>24943</v>
      </c>
      <c r="G14" s="67">
        <v>27346</v>
      </c>
      <c r="H14" s="67">
        <v>30532</v>
      </c>
      <c r="I14" s="67">
        <v>30079</v>
      </c>
      <c r="J14" s="67">
        <v>41810</v>
      </c>
      <c r="K14" s="67">
        <v>49954</v>
      </c>
      <c r="L14" s="67">
        <v>53577</v>
      </c>
      <c r="M14" s="67">
        <v>59046</v>
      </c>
      <c r="N14" s="67">
        <v>67714</v>
      </c>
      <c r="O14" s="165">
        <f>'P&amp;L'!T4*'Working Capital '!O21/365</f>
        <v>66240.156786865773</v>
      </c>
      <c r="P14" s="165">
        <f>'P&amp;L'!U4*'Working Capital '!P21/365</f>
        <v>69741.566596984165</v>
      </c>
      <c r="Q14" s="165">
        <f>'P&amp;L'!V4*'Working Capital '!Q21/365</f>
        <v>73428.058557463999</v>
      </c>
      <c r="R14" s="165">
        <f>'P&amp;L'!W4*'Working Capital '!R21/365</f>
        <v>77309.415985380445</v>
      </c>
      <c r="S14" s="165">
        <f>'P&amp;L'!X4*'Working Capital '!S21/365</f>
        <v>81395.939337321048</v>
      </c>
    </row>
    <row r="15" spans="2:21" ht="16.8" thickBot="1" x14ac:dyDescent="0.4">
      <c r="B15" s="68" t="s">
        <v>122</v>
      </c>
      <c r="C15" s="70">
        <f>SUM(C13:C14)</f>
        <v>20454</v>
      </c>
      <c r="D15" s="70">
        <f t="shared" ref="D15:N15" si="3">SUM(D13:D14)</f>
        <v>24089</v>
      </c>
      <c r="E15" s="70">
        <f t="shared" si="3"/>
        <v>22638</v>
      </c>
      <c r="F15" s="70">
        <f t="shared" si="3"/>
        <v>24969</v>
      </c>
      <c r="G15" s="70">
        <f t="shared" si="3"/>
        <v>27356</v>
      </c>
      <c r="H15" s="70">
        <f t="shared" si="3"/>
        <v>30537</v>
      </c>
      <c r="I15" s="70">
        <f t="shared" si="3"/>
        <v>30087</v>
      </c>
      <c r="J15" s="70">
        <f t="shared" si="3"/>
        <v>41830</v>
      </c>
      <c r="K15" s="70">
        <f t="shared" si="3"/>
        <v>49982</v>
      </c>
      <c r="L15" s="70">
        <f t="shared" si="3"/>
        <v>53605</v>
      </c>
      <c r="M15" s="70">
        <f t="shared" si="3"/>
        <v>59067</v>
      </c>
      <c r="N15" s="70">
        <f t="shared" si="3"/>
        <v>67743</v>
      </c>
      <c r="O15" s="102">
        <f>SUM(O13:O14)</f>
        <v>66270.689707218306</v>
      </c>
      <c r="P15" s="102">
        <f t="shared" ref="P15:S15" si="4">SUM(P13:P14)</f>
        <v>69773.713466820511</v>
      </c>
      <c r="Q15" s="102">
        <f t="shared" si="4"/>
        <v>73461.904689060422</v>
      </c>
      <c r="R15" s="102">
        <f t="shared" si="4"/>
        <v>77345.051200562331</v>
      </c>
      <c r="S15" s="102">
        <f t="shared" si="4"/>
        <v>81433.458205834642</v>
      </c>
    </row>
    <row r="16" spans="2:21" ht="16.2" x14ac:dyDescent="0.3">
      <c r="B16" s="65"/>
      <c r="O16" s="101"/>
      <c r="P16" s="101"/>
      <c r="Q16" s="101"/>
      <c r="R16" s="101"/>
      <c r="S16" s="101"/>
    </row>
    <row r="17" spans="2:19" ht="16.2" x14ac:dyDescent="0.35">
      <c r="B17" s="120" t="s">
        <v>119</v>
      </c>
      <c r="C17" s="120">
        <f>C15-C10</f>
        <v>-930</v>
      </c>
      <c r="D17" s="120">
        <f t="shared" ref="D17:N17" si="5">D15-D10</f>
        <v>7357</v>
      </c>
      <c r="E17" s="120">
        <f t="shared" si="5"/>
        <v>6974</v>
      </c>
      <c r="F17" s="120">
        <f t="shared" si="5"/>
        <v>5439</v>
      </c>
      <c r="G17" s="120">
        <f t="shared" si="5"/>
        <v>3372</v>
      </c>
      <c r="H17" s="120">
        <f t="shared" si="5"/>
        <v>-4841</v>
      </c>
      <c r="I17" s="120">
        <f t="shared" si="5"/>
        <v>-12797</v>
      </c>
      <c r="J17" s="120">
        <f t="shared" si="5"/>
        <v>-9248</v>
      </c>
      <c r="K17" s="120">
        <f t="shared" si="5"/>
        <v>-1671</v>
      </c>
      <c r="L17" s="120">
        <f t="shared" si="5"/>
        <v>-548</v>
      </c>
      <c r="M17" s="120">
        <f t="shared" si="5"/>
        <v>-3811</v>
      </c>
      <c r="N17" s="120">
        <f t="shared" si="5"/>
        <v>-4946</v>
      </c>
      <c r="O17" s="121">
        <f>O15-O10</f>
        <v>2640.1802384517432</v>
      </c>
      <c r="P17" s="121">
        <f t="shared" ref="P17:S17" si="6">P15-P10</f>
        <v>5441.0459765676496</v>
      </c>
      <c r="Q17" s="121">
        <f t="shared" si="6"/>
        <v>8392.0461554651411</v>
      </c>
      <c r="R17" s="121">
        <f t="shared" si="6"/>
        <v>11501.220686651388</v>
      </c>
      <c r="S17" s="121">
        <f t="shared" si="6"/>
        <v>14777.039650162187</v>
      </c>
    </row>
    <row r="18" spans="2:19" ht="16.8" thickBot="1" x14ac:dyDescent="0.4">
      <c r="B18" s="70" t="s">
        <v>145</v>
      </c>
      <c r="C18" s="70">
        <f>C14+C13-C7-C8-C9</f>
        <v>-744</v>
      </c>
      <c r="D18" s="70">
        <f t="shared" ref="D18:S18" si="7">D14+D13-D7-D8-D9</f>
        <v>7470</v>
      </c>
      <c r="E18" s="70">
        <f t="shared" si="7"/>
        <v>7174</v>
      </c>
      <c r="F18" s="70">
        <f t="shared" si="7"/>
        <v>5620</v>
      </c>
      <c r="G18" s="70">
        <f t="shared" si="7"/>
        <v>3416</v>
      </c>
      <c r="H18" s="70">
        <f t="shared" si="7"/>
        <v>3333</v>
      </c>
      <c r="I18" s="70">
        <f t="shared" si="7"/>
        <v>-5002</v>
      </c>
      <c r="J18" s="70">
        <f t="shared" si="7"/>
        <v>-1430</v>
      </c>
      <c r="K18" s="70">
        <f t="shared" si="7"/>
        <v>6017</v>
      </c>
      <c r="L18" s="70">
        <f t="shared" si="7"/>
        <v>7473</v>
      </c>
      <c r="M18" s="70">
        <f t="shared" si="7"/>
        <v>5581</v>
      </c>
      <c r="N18" s="70">
        <f t="shared" si="7"/>
        <v>6337</v>
      </c>
      <c r="O18" s="122">
        <f>(O14+O13-O7-O8-O9)</f>
        <v>12205.180238451743</v>
      </c>
      <c r="P18" s="122">
        <f t="shared" si="7"/>
        <v>15006.04597656765</v>
      </c>
      <c r="Q18" s="122">
        <f t="shared" si="7"/>
        <v>17957.046155465148</v>
      </c>
      <c r="R18" s="122">
        <f t="shared" si="7"/>
        <v>21066.220686651395</v>
      </c>
      <c r="S18" s="122">
        <f t="shared" si="7"/>
        <v>24342.039650162194</v>
      </c>
    </row>
    <row r="20" spans="2:19" ht="16.8" thickBot="1" x14ac:dyDescent="0.35">
      <c r="B20" s="33"/>
      <c r="C20" s="27">
        <v>42064</v>
      </c>
      <c r="D20" s="27">
        <v>42430</v>
      </c>
      <c r="E20" s="27">
        <v>42795</v>
      </c>
      <c r="F20" s="27">
        <v>43160</v>
      </c>
      <c r="G20" s="27">
        <v>43525</v>
      </c>
      <c r="H20" s="27">
        <v>43891</v>
      </c>
      <c r="I20" s="27">
        <v>44256</v>
      </c>
      <c r="J20" s="27">
        <v>44621</v>
      </c>
      <c r="K20" s="27">
        <v>44986</v>
      </c>
      <c r="L20" s="27">
        <v>45352</v>
      </c>
      <c r="M20" s="27">
        <v>45717</v>
      </c>
      <c r="N20" s="27">
        <v>46082</v>
      </c>
      <c r="O20" s="27">
        <v>46447</v>
      </c>
      <c r="P20" s="27">
        <v>46813</v>
      </c>
      <c r="Q20" s="27">
        <v>47178</v>
      </c>
      <c r="R20" s="27">
        <v>47543</v>
      </c>
      <c r="S20" s="27">
        <v>47908</v>
      </c>
    </row>
    <row r="21" spans="2:19" x14ac:dyDescent="0.3">
      <c r="B21" s="24" t="s">
        <v>111</v>
      </c>
      <c r="C21" s="16">
        <v>79</v>
      </c>
      <c r="D21" s="16">
        <v>81</v>
      </c>
      <c r="E21" s="16">
        <v>70</v>
      </c>
      <c r="F21" s="16">
        <v>74</v>
      </c>
      <c r="G21" s="16">
        <v>68</v>
      </c>
      <c r="H21" s="16">
        <v>71</v>
      </c>
      <c r="I21" s="16">
        <v>67</v>
      </c>
      <c r="J21" s="16">
        <v>80</v>
      </c>
      <c r="K21" s="16">
        <v>81</v>
      </c>
      <c r="L21" s="16">
        <v>81</v>
      </c>
      <c r="M21" s="16">
        <v>84</v>
      </c>
      <c r="N21" s="16">
        <v>93</v>
      </c>
      <c r="O21" s="101">
        <f>AVERAGE($L$21:$N$21)</f>
        <v>86</v>
      </c>
      <c r="P21" s="101">
        <f t="shared" ref="P21:S21" si="8">AVERAGE($L$21:$N$21)</f>
        <v>86</v>
      </c>
      <c r="Q21" s="101">
        <f t="shared" si="8"/>
        <v>86</v>
      </c>
      <c r="R21" s="101">
        <f t="shared" si="8"/>
        <v>86</v>
      </c>
      <c r="S21" s="101">
        <f t="shared" si="8"/>
        <v>86</v>
      </c>
    </row>
    <row r="22" spans="2:19" x14ac:dyDescent="0.3">
      <c r="B22" s="24" t="s">
        <v>112</v>
      </c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1"/>
      <c r="P22" s="101"/>
      <c r="Q22" s="101"/>
      <c r="R22" s="101"/>
      <c r="S22" s="101"/>
    </row>
    <row r="23" spans="2:19" x14ac:dyDescent="0.3">
      <c r="B23" s="24" t="s">
        <v>113</v>
      </c>
      <c r="C23" s="103">
        <f>C7/'P&amp;L Detail'!C6*365</f>
        <v>45.937762765972614</v>
      </c>
      <c r="D23" s="103">
        <f>D7/'P&amp;L Detail'!D6*365</f>
        <v>35.302043119701423</v>
      </c>
      <c r="E23" s="103">
        <f>E7/'P&amp;L Detail'!E6*365</f>
        <v>20.901581927499855</v>
      </c>
      <c r="F23" s="103">
        <f>F7/'P&amp;L Detail'!F6*365</f>
        <v>20.524903960789509</v>
      </c>
      <c r="G23" s="103">
        <f>G7/'P&amp;L Detail'!G6*365</f>
        <v>21.471993417915609</v>
      </c>
      <c r="H23" s="103">
        <f>H7/'P&amp;L Detail'!H6*365</f>
        <v>21.421978404737025</v>
      </c>
      <c r="I23" s="103">
        <f>I7/'P&amp;L Detail'!I6*365</f>
        <v>24.388979095646558</v>
      </c>
      <c r="J23" s="103">
        <f>J7/'P&amp;L Detail'!J6*365</f>
        <v>21.171510558988299</v>
      </c>
      <c r="K23" s="103">
        <f>K7/'P&amp;L Detail'!K6*365</f>
        <v>23.092647970204393</v>
      </c>
      <c r="L23" s="103">
        <f>L7/'P&amp;L Detail'!L6*365</f>
        <v>20.629257575156995</v>
      </c>
      <c r="M23" s="103">
        <f>M7/'P&amp;L Detail'!M6*365</f>
        <v>27.016102853919552</v>
      </c>
      <c r="N23" s="103">
        <f>N7/'P&amp;L Detail'!N6*365</f>
        <v>27.771229505248609</v>
      </c>
      <c r="O23" s="101">
        <f>AVERAGE($L$23:$N$23)</f>
        <v>25.138863311441721</v>
      </c>
      <c r="P23" s="101">
        <f t="shared" ref="P23:S23" si="9">AVERAGE($L$23:$N$23)</f>
        <v>25.138863311441721</v>
      </c>
      <c r="Q23" s="101">
        <f t="shared" si="9"/>
        <v>25.138863311441721</v>
      </c>
      <c r="R23" s="101">
        <f t="shared" si="9"/>
        <v>25.138863311441721</v>
      </c>
      <c r="S23" s="101">
        <f t="shared" si="9"/>
        <v>25.138863311441721</v>
      </c>
    </row>
    <row r="24" spans="2:19" ht="16.2" thickBot="1" x14ac:dyDescent="0.35">
      <c r="B24" s="35" t="s">
        <v>114</v>
      </c>
      <c r="C24" s="36">
        <v>79</v>
      </c>
      <c r="D24" s="36">
        <v>81</v>
      </c>
      <c r="E24" s="36">
        <v>70</v>
      </c>
      <c r="F24" s="36">
        <v>74</v>
      </c>
      <c r="G24" s="36">
        <v>68</v>
      </c>
      <c r="H24" s="36">
        <v>71</v>
      </c>
      <c r="I24" s="36">
        <v>67</v>
      </c>
      <c r="J24" s="36">
        <v>80</v>
      </c>
      <c r="K24" s="36">
        <v>81</v>
      </c>
      <c r="L24" s="36">
        <v>81</v>
      </c>
      <c r="M24" s="36">
        <v>84</v>
      </c>
      <c r="N24" s="36">
        <v>93</v>
      </c>
      <c r="O24" s="101">
        <f>AVERAGE($L$24:$N$24)</f>
        <v>86</v>
      </c>
      <c r="P24" s="101">
        <f t="shared" ref="P24:S24" si="10">AVERAGE($L$24:$N$24)</f>
        <v>86</v>
      </c>
      <c r="Q24" s="101">
        <f t="shared" si="10"/>
        <v>86</v>
      </c>
      <c r="R24" s="101">
        <f t="shared" si="10"/>
        <v>86</v>
      </c>
      <c r="S24" s="101">
        <f t="shared" si="10"/>
        <v>86</v>
      </c>
    </row>
    <row r="25" spans="2:19" x14ac:dyDescent="0.3">
      <c r="B25" s="24" t="s">
        <v>115</v>
      </c>
      <c r="C25" s="16">
        <v>33</v>
      </c>
      <c r="D25" s="16">
        <v>62</v>
      </c>
      <c r="E25" s="16">
        <v>62</v>
      </c>
      <c r="F25" s="16">
        <v>61</v>
      </c>
      <c r="G25" s="16">
        <v>70</v>
      </c>
      <c r="H25" s="16">
        <v>64</v>
      </c>
      <c r="I25" s="16">
        <v>59</v>
      </c>
      <c r="J25" s="16">
        <v>33</v>
      </c>
      <c r="K25" s="16">
        <v>30</v>
      </c>
      <c r="L25" s="16">
        <v>34</v>
      </c>
      <c r="M25" s="16">
        <v>34</v>
      </c>
      <c r="N25" s="16">
        <v>38</v>
      </c>
      <c r="O25" s="101">
        <f>AVERAGE($L$25:$N$25)</f>
        <v>35.333333333333336</v>
      </c>
      <c r="P25" s="101">
        <f t="shared" ref="P25:S25" si="11">AVERAGE($L$25:$N$25)</f>
        <v>35.333333333333336</v>
      </c>
      <c r="Q25" s="101">
        <f t="shared" si="11"/>
        <v>35.333333333333336</v>
      </c>
      <c r="R25" s="101">
        <f t="shared" si="11"/>
        <v>35.333333333333336</v>
      </c>
      <c r="S25" s="101">
        <f t="shared" si="11"/>
        <v>35.333333333333336</v>
      </c>
    </row>
    <row r="26" spans="2:19" ht="16.2" thickBot="1" x14ac:dyDescent="0.35">
      <c r="B26" s="35" t="s">
        <v>116</v>
      </c>
      <c r="C26" s="57">
        <v>0.5</v>
      </c>
      <c r="D26" s="57">
        <v>0.51</v>
      </c>
      <c r="E26" s="57">
        <v>0.44</v>
      </c>
      <c r="F26" s="57">
        <v>0.39</v>
      </c>
      <c r="G26" s="57">
        <v>0.47</v>
      </c>
      <c r="H26" s="57">
        <v>0.47</v>
      </c>
      <c r="I26" s="57">
        <v>0.49</v>
      </c>
      <c r="J26" s="57">
        <v>0.54</v>
      </c>
      <c r="K26" s="57">
        <v>0.59</v>
      </c>
      <c r="L26" s="57">
        <v>0.64</v>
      </c>
      <c r="M26" s="57">
        <v>0.65</v>
      </c>
      <c r="N26" s="57">
        <v>0.63</v>
      </c>
      <c r="O26" s="102"/>
      <c r="P26" s="102"/>
      <c r="Q26" s="102"/>
      <c r="R26" s="102"/>
      <c r="S26" s="10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27B1-892E-4F10-AF2E-5B0F6A7ECF33}">
  <dimension ref="B2:S16"/>
  <sheetViews>
    <sheetView zoomScaleNormal="100" workbookViewId="0"/>
  </sheetViews>
  <sheetFormatPr defaultRowHeight="15.6" x14ac:dyDescent="0.3"/>
  <cols>
    <col min="1" max="1" width="4.44140625" style="60" customWidth="1"/>
    <col min="2" max="2" width="22.77734375" style="60" bestFit="1" customWidth="1"/>
    <col min="3" max="13" width="13.33203125" style="60" bestFit="1" customWidth="1"/>
    <col min="14" max="14" width="13.77734375" style="60" bestFit="1" customWidth="1"/>
    <col min="15" max="19" width="10.33203125" style="60" bestFit="1" customWidth="1"/>
    <col min="20" max="16384" width="8.88671875" style="60"/>
  </cols>
  <sheetData>
    <row r="2" spans="2:19" ht="18" x14ac:dyDescent="0.35">
      <c r="B2" s="61" t="s">
        <v>129</v>
      </c>
    </row>
    <row r="3" spans="2:19" ht="16.8" thickBot="1" x14ac:dyDescent="0.35">
      <c r="B3" s="33"/>
      <c r="C3" s="27">
        <v>42064</v>
      </c>
      <c r="D3" s="27">
        <v>42430</v>
      </c>
      <c r="E3" s="27">
        <v>42795</v>
      </c>
      <c r="F3" s="27">
        <v>43160</v>
      </c>
      <c r="G3" s="27">
        <v>43525</v>
      </c>
      <c r="H3" s="27">
        <v>43891</v>
      </c>
      <c r="I3" s="27">
        <v>44256</v>
      </c>
      <c r="J3" s="27">
        <v>44621</v>
      </c>
      <c r="K3" s="27">
        <v>44986</v>
      </c>
      <c r="L3" s="27">
        <v>45352</v>
      </c>
      <c r="M3" s="27">
        <v>45717</v>
      </c>
      <c r="N3" s="27">
        <v>46082</v>
      </c>
      <c r="O3" s="27">
        <v>46447</v>
      </c>
      <c r="P3" s="27">
        <v>46813</v>
      </c>
      <c r="Q3" s="27">
        <v>47178</v>
      </c>
      <c r="R3" s="27">
        <v>47543</v>
      </c>
      <c r="S3" s="27">
        <v>47908</v>
      </c>
    </row>
    <row r="4" spans="2:19" ht="18" x14ac:dyDescent="0.35">
      <c r="B4" s="61" t="s">
        <v>124</v>
      </c>
      <c r="O4" s="101"/>
      <c r="P4" s="101"/>
      <c r="Q4" s="101"/>
      <c r="R4" s="101"/>
      <c r="S4" s="101"/>
    </row>
    <row r="5" spans="2:19" x14ac:dyDescent="0.3">
      <c r="B5" s="63" t="s">
        <v>24</v>
      </c>
      <c r="C5" s="64">
        <v>196</v>
      </c>
      <c r="D5" s="64">
        <v>197</v>
      </c>
      <c r="E5" s="64">
        <v>197</v>
      </c>
      <c r="F5" s="64">
        <v>191</v>
      </c>
      <c r="G5" s="64">
        <v>375</v>
      </c>
      <c r="H5" s="64">
        <v>375</v>
      </c>
      <c r="I5" s="64">
        <v>370</v>
      </c>
      <c r="J5" s="64">
        <v>366</v>
      </c>
      <c r="K5" s="64">
        <v>366</v>
      </c>
      <c r="L5" s="64">
        <v>362</v>
      </c>
      <c r="M5" s="64">
        <v>362</v>
      </c>
      <c r="N5" s="64">
        <v>362</v>
      </c>
      <c r="O5" s="106">
        <v>362</v>
      </c>
      <c r="P5" s="106">
        <v>362</v>
      </c>
      <c r="Q5" s="106">
        <v>362</v>
      </c>
      <c r="R5" s="106">
        <v>362</v>
      </c>
      <c r="S5" s="106">
        <v>362</v>
      </c>
    </row>
    <row r="6" spans="2:19" x14ac:dyDescent="0.3">
      <c r="B6" s="63" t="s">
        <v>25</v>
      </c>
      <c r="C6" s="64">
        <v>50439</v>
      </c>
      <c r="D6" s="64">
        <v>70875</v>
      </c>
      <c r="E6" s="64">
        <v>86017</v>
      </c>
      <c r="F6" s="64">
        <v>84937</v>
      </c>
      <c r="G6" s="64">
        <v>89071</v>
      </c>
      <c r="H6" s="64">
        <v>83751</v>
      </c>
      <c r="I6" s="64">
        <v>86063</v>
      </c>
      <c r="J6" s="64">
        <v>88773</v>
      </c>
      <c r="K6" s="64">
        <v>90058</v>
      </c>
      <c r="L6" s="64">
        <v>90127</v>
      </c>
      <c r="M6" s="64">
        <v>94394</v>
      </c>
      <c r="N6" s="64">
        <v>106878</v>
      </c>
      <c r="O6" s="101">
        <f>'P&amp;L'!T13*(1-'P&amp;L'!$N$15)+N6</f>
        <v>116612.47911994597</v>
      </c>
      <c r="P6" s="101">
        <f>'P&amp;L'!U13*(1-'P&amp;L'!$N$15)+O6</f>
        <v>126697.35158374158</v>
      </c>
      <c r="Q6" s="101">
        <f>'P&amp;L'!V13*(1-'P&amp;L'!$N$15)+P6</f>
        <v>137145.22982744029</v>
      </c>
      <c r="R6" s="101">
        <f>'P&amp;L'!W13*(1-'P&amp;L'!$N$15)+Q6</f>
        <v>147969.18027272625</v>
      </c>
      <c r="S6" s="101">
        <f>'P&amp;L'!X13*(1-'P&amp;L'!$N$15)+R6</f>
        <v>159182.73966816298</v>
      </c>
    </row>
    <row r="7" spans="2:19" ht="16.8" thickBot="1" x14ac:dyDescent="0.4">
      <c r="B7" s="70" t="s">
        <v>126</v>
      </c>
      <c r="C7" s="73">
        <f>SUM(C5:C6)</f>
        <v>50635</v>
      </c>
      <c r="D7" s="73">
        <f t="shared" ref="D7:N7" si="0">SUM(D5:D6)</f>
        <v>71072</v>
      </c>
      <c r="E7" s="73">
        <f t="shared" si="0"/>
        <v>86214</v>
      </c>
      <c r="F7" s="73">
        <f t="shared" si="0"/>
        <v>85128</v>
      </c>
      <c r="G7" s="73">
        <f t="shared" si="0"/>
        <v>89446</v>
      </c>
      <c r="H7" s="73">
        <f t="shared" si="0"/>
        <v>84126</v>
      </c>
      <c r="I7" s="73">
        <f t="shared" si="0"/>
        <v>86433</v>
      </c>
      <c r="J7" s="73">
        <f t="shared" si="0"/>
        <v>89139</v>
      </c>
      <c r="K7" s="73">
        <f t="shared" si="0"/>
        <v>90424</v>
      </c>
      <c r="L7" s="73">
        <f t="shared" si="0"/>
        <v>90489</v>
      </c>
      <c r="M7" s="73">
        <f t="shared" si="0"/>
        <v>94756</v>
      </c>
      <c r="N7" s="73">
        <f t="shared" si="0"/>
        <v>107240</v>
      </c>
      <c r="O7" s="102">
        <f>SUM(O5:O6)</f>
        <v>116974.47911994597</v>
      </c>
      <c r="P7" s="102">
        <f t="shared" ref="P7:S7" si="1">SUM(P5:P6)</f>
        <v>127059.35158374158</v>
      </c>
      <c r="Q7" s="102">
        <f t="shared" si="1"/>
        <v>137507.22982744029</v>
      </c>
      <c r="R7" s="102">
        <f t="shared" si="1"/>
        <v>148331.18027272625</v>
      </c>
      <c r="S7" s="102">
        <f t="shared" si="1"/>
        <v>159544.73966816298</v>
      </c>
    </row>
    <row r="8" spans="2:19" ht="16.2" x14ac:dyDescent="0.35">
      <c r="B8" s="62"/>
      <c r="O8" s="101"/>
      <c r="P8" s="101"/>
      <c r="Q8" s="101"/>
      <c r="R8" s="101"/>
      <c r="S8" s="101"/>
    </row>
    <row r="9" spans="2:19" ht="18" x14ac:dyDescent="0.35">
      <c r="B9" s="61" t="s">
        <v>125</v>
      </c>
      <c r="O9" s="101"/>
      <c r="P9" s="101"/>
      <c r="Q9" s="101"/>
      <c r="R9" s="101"/>
      <c r="S9" s="101"/>
    </row>
    <row r="10" spans="2:19" x14ac:dyDescent="0.3">
      <c r="B10" s="63" t="s">
        <v>68</v>
      </c>
      <c r="C10" s="64">
        <v>114</v>
      </c>
      <c r="D10" s="64">
        <v>83</v>
      </c>
      <c r="E10" s="64">
        <v>71</v>
      </c>
      <c r="F10" s="64">
        <v>54</v>
      </c>
      <c r="G10" s="64">
        <v>44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106">
        <v>0</v>
      </c>
      <c r="P10" s="106">
        <v>0</v>
      </c>
      <c r="Q10" s="106">
        <v>0</v>
      </c>
      <c r="R10" s="106">
        <v>0</v>
      </c>
      <c r="S10" s="106">
        <v>0</v>
      </c>
    </row>
    <row r="11" spans="2:19" x14ac:dyDescent="0.3">
      <c r="B11" s="63" t="s">
        <v>69</v>
      </c>
      <c r="C11" s="64">
        <v>186</v>
      </c>
      <c r="D11" s="64">
        <v>113</v>
      </c>
      <c r="E11" s="64">
        <v>200</v>
      </c>
      <c r="F11" s="64">
        <v>181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106">
        <v>0</v>
      </c>
      <c r="P11" s="106">
        <v>0</v>
      </c>
      <c r="Q11" s="106">
        <v>0</v>
      </c>
      <c r="R11" s="106">
        <v>0</v>
      </c>
      <c r="S11" s="106">
        <v>0</v>
      </c>
    </row>
    <row r="12" spans="2:19" x14ac:dyDescent="0.3">
      <c r="B12" s="63" t="s">
        <v>70</v>
      </c>
      <c r="C12" s="64">
        <v>0</v>
      </c>
      <c r="D12" s="64">
        <v>0</v>
      </c>
      <c r="E12" s="64">
        <v>0</v>
      </c>
      <c r="F12" s="64">
        <v>0</v>
      </c>
      <c r="G12" s="64">
        <v>44</v>
      </c>
      <c r="H12" s="64">
        <v>8174</v>
      </c>
      <c r="I12" s="64">
        <v>7795</v>
      </c>
      <c r="J12" s="64">
        <v>7818</v>
      </c>
      <c r="K12" s="64">
        <v>7688</v>
      </c>
      <c r="L12" s="64">
        <v>8021</v>
      </c>
      <c r="M12" s="64">
        <v>9392</v>
      </c>
      <c r="N12" s="64">
        <v>11283</v>
      </c>
      <c r="O12" s="106">
        <v>11283</v>
      </c>
      <c r="P12" s="106">
        <v>11283</v>
      </c>
      <c r="Q12" s="106">
        <v>11283</v>
      </c>
      <c r="R12" s="106">
        <v>11283</v>
      </c>
      <c r="S12" s="106">
        <v>11283</v>
      </c>
    </row>
    <row r="13" spans="2:19" x14ac:dyDescent="0.3">
      <c r="B13" s="63" t="s">
        <v>71</v>
      </c>
      <c r="C13" s="64">
        <v>58</v>
      </c>
      <c r="D13" s="64">
        <v>49</v>
      </c>
      <c r="E13" s="64">
        <v>18</v>
      </c>
      <c r="F13" s="64">
        <v>12</v>
      </c>
      <c r="G13" s="64">
        <v>-26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106">
        <v>0</v>
      </c>
      <c r="P13" s="106">
        <v>0</v>
      </c>
      <c r="Q13" s="106">
        <v>0</v>
      </c>
      <c r="R13" s="106">
        <v>0</v>
      </c>
      <c r="S13" s="106">
        <v>0</v>
      </c>
    </row>
    <row r="14" spans="2:19" ht="16.8" thickBot="1" x14ac:dyDescent="0.4">
      <c r="B14" s="70" t="s">
        <v>127</v>
      </c>
      <c r="C14" s="73">
        <f>SUM(C10:C13)</f>
        <v>358</v>
      </c>
      <c r="D14" s="73">
        <f t="shared" ref="D14:N14" si="2">SUM(D10:D13)</f>
        <v>245</v>
      </c>
      <c r="E14" s="73">
        <f t="shared" si="2"/>
        <v>289</v>
      </c>
      <c r="F14" s="73">
        <f t="shared" si="2"/>
        <v>247</v>
      </c>
      <c r="G14" s="73">
        <f t="shared" si="2"/>
        <v>62</v>
      </c>
      <c r="H14" s="73">
        <f t="shared" si="2"/>
        <v>8174</v>
      </c>
      <c r="I14" s="73">
        <f t="shared" si="2"/>
        <v>7795</v>
      </c>
      <c r="J14" s="73">
        <f t="shared" si="2"/>
        <v>7818</v>
      </c>
      <c r="K14" s="73">
        <f t="shared" si="2"/>
        <v>7688</v>
      </c>
      <c r="L14" s="73">
        <f t="shared" si="2"/>
        <v>8021</v>
      </c>
      <c r="M14" s="73">
        <f t="shared" si="2"/>
        <v>9392</v>
      </c>
      <c r="N14" s="73">
        <f t="shared" si="2"/>
        <v>11283</v>
      </c>
      <c r="O14" s="102">
        <f t="shared" ref="O14" si="3">SUM(O10:O13)</f>
        <v>11283</v>
      </c>
      <c r="P14" s="102">
        <f t="shared" ref="P14" si="4">SUM(P10:P13)</f>
        <v>11283</v>
      </c>
      <c r="Q14" s="102">
        <f t="shared" ref="Q14" si="5">SUM(Q10:Q13)</f>
        <v>11283</v>
      </c>
      <c r="R14" s="102">
        <f t="shared" ref="R14" si="6">SUM(R10:R13)</f>
        <v>11283</v>
      </c>
      <c r="S14" s="102">
        <f t="shared" ref="S14" si="7">SUM(S10:S13)</f>
        <v>11283</v>
      </c>
    </row>
    <row r="15" spans="2:19" x14ac:dyDescent="0.3">
      <c r="B15" s="34" t="s">
        <v>91</v>
      </c>
      <c r="C15" s="8">
        <v>18556</v>
      </c>
      <c r="D15" s="8">
        <v>6788</v>
      </c>
      <c r="E15" s="8">
        <v>4149</v>
      </c>
      <c r="F15" s="8">
        <v>7161</v>
      </c>
      <c r="G15" s="8">
        <v>12848</v>
      </c>
      <c r="H15" s="8">
        <v>9666</v>
      </c>
      <c r="I15" s="8">
        <v>9329</v>
      </c>
      <c r="J15" s="8">
        <v>18221</v>
      </c>
      <c r="K15" s="8">
        <v>11032</v>
      </c>
      <c r="L15" s="8">
        <v>13286</v>
      </c>
      <c r="M15" s="8">
        <v>15463</v>
      </c>
      <c r="N15" s="8">
        <v>12908</v>
      </c>
      <c r="O15" s="107">
        <v>12908</v>
      </c>
      <c r="P15" s="107">
        <v>12908</v>
      </c>
      <c r="Q15" s="107">
        <v>12908</v>
      </c>
      <c r="R15" s="107">
        <v>12908</v>
      </c>
      <c r="S15" s="107">
        <v>12908</v>
      </c>
    </row>
    <row r="16" spans="2:19" ht="16.2" x14ac:dyDescent="0.35">
      <c r="B16" s="62" t="s">
        <v>128</v>
      </c>
      <c r="C16" s="60">
        <f>C14-C15</f>
        <v>-18198</v>
      </c>
      <c r="D16" s="60">
        <f t="shared" ref="D16:N16" si="8">D14-D15</f>
        <v>-6543</v>
      </c>
      <c r="E16" s="60">
        <f t="shared" si="8"/>
        <v>-3860</v>
      </c>
      <c r="F16" s="60">
        <f t="shared" si="8"/>
        <v>-6914</v>
      </c>
      <c r="G16" s="60">
        <f t="shared" si="8"/>
        <v>-12786</v>
      </c>
      <c r="H16" s="60">
        <f t="shared" si="8"/>
        <v>-1492</v>
      </c>
      <c r="I16" s="60">
        <f t="shared" si="8"/>
        <v>-1534</v>
      </c>
      <c r="J16" s="60">
        <f t="shared" si="8"/>
        <v>-10403</v>
      </c>
      <c r="K16" s="60">
        <f t="shared" si="8"/>
        <v>-3344</v>
      </c>
      <c r="L16" s="60">
        <f t="shared" si="8"/>
        <v>-5265</v>
      </c>
      <c r="M16" s="60">
        <f t="shared" si="8"/>
        <v>-6071</v>
      </c>
      <c r="N16" s="60">
        <f t="shared" si="8"/>
        <v>-1625</v>
      </c>
      <c r="O16" s="101">
        <f t="shared" ref="O16" si="9">O14-O15</f>
        <v>-1625</v>
      </c>
      <c r="P16" s="101">
        <f t="shared" ref="P16" si="10">P14-P15</f>
        <v>-1625</v>
      </c>
      <c r="Q16" s="101">
        <f t="shared" ref="Q16" si="11">Q14-Q15</f>
        <v>-1625</v>
      </c>
      <c r="R16" s="101">
        <f t="shared" ref="R16" si="12">R14-R15</f>
        <v>-1625</v>
      </c>
      <c r="S16" s="101">
        <f t="shared" ref="S16" si="13">S14-S15</f>
        <v>-1625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AD6F-E651-498C-95E8-C01F5DC4BDEE}">
  <dimension ref="B2:S13"/>
  <sheetViews>
    <sheetView zoomScaleNormal="100" workbookViewId="0"/>
  </sheetViews>
  <sheetFormatPr defaultRowHeight="15.6" x14ac:dyDescent="0.3"/>
  <cols>
    <col min="1" max="1" width="3.44140625" style="71" customWidth="1"/>
    <col min="2" max="2" width="25.6640625" style="71" bestFit="1" customWidth="1"/>
    <col min="3" max="3" width="17.6640625" style="71" bestFit="1" customWidth="1"/>
    <col min="4" max="4" width="16.44140625" style="71" bestFit="1" customWidth="1"/>
    <col min="5" max="13" width="14.109375" style="71" bestFit="1" customWidth="1"/>
    <col min="14" max="14" width="10.44140625" style="71" bestFit="1" customWidth="1"/>
    <col min="15" max="19" width="13.5546875" style="71" bestFit="1" customWidth="1"/>
    <col min="20" max="16384" width="8.88671875" style="71"/>
  </cols>
  <sheetData>
    <row r="2" spans="2:19" ht="18" x14ac:dyDescent="0.35">
      <c r="B2" s="72" t="s">
        <v>134</v>
      </c>
    </row>
    <row r="3" spans="2:19" ht="16.8" thickBot="1" x14ac:dyDescent="0.35">
      <c r="B3" s="33"/>
      <c r="C3" s="27">
        <v>42064</v>
      </c>
      <c r="D3" s="27">
        <v>42430</v>
      </c>
      <c r="E3" s="27">
        <v>42795</v>
      </c>
      <c r="F3" s="27">
        <v>43160</v>
      </c>
      <c r="G3" s="27">
        <v>43525</v>
      </c>
      <c r="H3" s="27">
        <v>43891</v>
      </c>
      <c r="I3" s="27">
        <v>44256</v>
      </c>
      <c r="J3" s="27">
        <v>44621</v>
      </c>
      <c r="K3" s="27">
        <v>44986</v>
      </c>
      <c r="L3" s="27">
        <v>45352</v>
      </c>
      <c r="M3" s="27">
        <v>45717</v>
      </c>
      <c r="N3" s="27">
        <v>46082</v>
      </c>
      <c r="O3" s="27">
        <v>46447</v>
      </c>
      <c r="P3" s="27">
        <v>46813</v>
      </c>
      <c r="Q3" s="27">
        <v>47178</v>
      </c>
      <c r="R3" s="27">
        <v>47543</v>
      </c>
      <c r="S3" s="27">
        <v>47908</v>
      </c>
    </row>
    <row r="4" spans="2:19" x14ac:dyDescent="0.3">
      <c r="B4" s="76" t="s">
        <v>125</v>
      </c>
      <c r="C4" s="80">
        <f>'Capital Structure'!C14</f>
        <v>358</v>
      </c>
      <c r="D4" s="79">
        <f>'Capital Structure'!D14</f>
        <v>245</v>
      </c>
      <c r="E4" s="79">
        <f>'Capital Structure'!E14</f>
        <v>289</v>
      </c>
      <c r="F4" s="79">
        <f>'Capital Structure'!F14</f>
        <v>247</v>
      </c>
      <c r="G4" s="79">
        <f>'Capital Structure'!G14</f>
        <v>62</v>
      </c>
      <c r="H4" s="79">
        <f>'Capital Structure'!H14</f>
        <v>8174</v>
      </c>
      <c r="I4" s="79">
        <f>'Capital Structure'!I14</f>
        <v>7795</v>
      </c>
      <c r="J4" s="79">
        <f>'Capital Structure'!J14</f>
        <v>7818</v>
      </c>
      <c r="K4" s="79">
        <f>'Capital Structure'!K14</f>
        <v>7688</v>
      </c>
      <c r="L4" s="79">
        <f>'Capital Structure'!L14</f>
        <v>8021</v>
      </c>
      <c r="M4" s="79">
        <f>'Capital Structure'!M14</f>
        <v>9392</v>
      </c>
      <c r="N4" s="79">
        <f>'Capital Structure'!N14</f>
        <v>11283</v>
      </c>
      <c r="O4" s="108">
        <f>'Capital Structure'!O14</f>
        <v>11283</v>
      </c>
      <c r="P4" s="108">
        <f>'Capital Structure'!P14</f>
        <v>11283</v>
      </c>
      <c r="Q4" s="108">
        <f>'Capital Structure'!Q14</f>
        <v>11283</v>
      </c>
      <c r="R4" s="108">
        <f>'Capital Structure'!R14</f>
        <v>11283</v>
      </c>
      <c r="S4" s="108">
        <f>'Capital Structure'!S14</f>
        <v>11283</v>
      </c>
    </row>
    <row r="5" spans="2:19" x14ac:dyDescent="0.3">
      <c r="B5" s="76" t="s">
        <v>124</v>
      </c>
      <c r="C5" s="80">
        <f>'Capital Structure'!C7</f>
        <v>50635</v>
      </c>
      <c r="D5" s="79">
        <f>'Capital Structure'!D7</f>
        <v>71072</v>
      </c>
      <c r="E5" s="79">
        <f>'Capital Structure'!E7</f>
        <v>86214</v>
      </c>
      <c r="F5" s="79">
        <f>'Capital Structure'!F7</f>
        <v>85128</v>
      </c>
      <c r="G5" s="79">
        <f>'Capital Structure'!G7</f>
        <v>89446</v>
      </c>
      <c r="H5" s="79">
        <f>'Capital Structure'!H7</f>
        <v>84126</v>
      </c>
      <c r="I5" s="79">
        <f>'Capital Structure'!I7</f>
        <v>86433</v>
      </c>
      <c r="J5" s="79">
        <f>'Capital Structure'!J7</f>
        <v>89139</v>
      </c>
      <c r="K5" s="79">
        <f>'Capital Structure'!K7</f>
        <v>90424</v>
      </c>
      <c r="L5" s="79">
        <f>'Capital Structure'!L7</f>
        <v>90489</v>
      </c>
      <c r="M5" s="79">
        <f>'Capital Structure'!M7</f>
        <v>94756</v>
      </c>
      <c r="N5" s="79">
        <f>'Capital Structure'!N7</f>
        <v>107240</v>
      </c>
      <c r="O5" s="101">
        <f>'Capital Structure'!O7</f>
        <v>116974.47911994597</v>
      </c>
      <c r="P5" s="101">
        <f>'Capital Structure'!P7</f>
        <v>127059.35158374158</v>
      </c>
      <c r="Q5" s="101">
        <f>'Capital Structure'!Q7</f>
        <v>137507.22982744029</v>
      </c>
      <c r="R5" s="101">
        <f>'Capital Structure'!R7</f>
        <v>148331.18027272625</v>
      </c>
      <c r="S5" s="101">
        <f>'Capital Structure'!S7</f>
        <v>159544.73966816298</v>
      </c>
    </row>
    <row r="6" spans="2:19" x14ac:dyDescent="0.3">
      <c r="B6" s="76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109"/>
      <c r="P6" s="109"/>
      <c r="Q6" s="109"/>
      <c r="R6" s="109"/>
      <c r="S6" s="109"/>
    </row>
    <row r="7" spans="2:19" x14ac:dyDescent="0.3">
      <c r="B7" s="76" t="s">
        <v>130</v>
      </c>
      <c r="C7" s="74">
        <f>C4/(C4+C5)</f>
        <v>7.0205714509834682E-3</v>
      </c>
      <c r="D7" s="74">
        <f t="shared" ref="D7:N7" si="0">D4/(D4+D5)</f>
        <v>3.4353660417572249E-3</v>
      </c>
      <c r="E7" s="74">
        <f t="shared" si="0"/>
        <v>3.3409245922106749E-3</v>
      </c>
      <c r="F7" s="74">
        <f t="shared" si="0"/>
        <v>2.8931185944363106E-3</v>
      </c>
      <c r="G7" s="74">
        <f t="shared" si="0"/>
        <v>6.9267551503776202E-4</v>
      </c>
      <c r="H7" s="74">
        <f t="shared" si="0"/>
        <v>8.8559046587215598E-2</v>
      </c>
      <c r="I7" s="74">
        <f t="shared" si="0"/>
        <v>8.2724880078108423E-2</v>
      </c>
      <c r="J7" s="74">
        <f t="shared" si="0"/>
        <v>8.063368297286426E-2</v>
      </c>
      <c r="K7" s="74">
        <f t="shared" si="0"/>
        <v>7.8359425962165691E-2</v>
      </c>
      <c r="L7" s="74">
        <f t="shared" si="0"/>
        <v>8.1423205765912096E-2</v>
      </c>
      <c r="M7" s="74">
        <f t="shared" si="0"/>
        <v>9.0179360141337331E-2</v>
      </c>
      <c r="N7" s="74">
        <f t="shared" si="0"/>
        <v>9.5196712874294445E-2</v>
      </c>
      <c r="O7" s="109">
        <f>O4/(O4+O5)</f>
        <v>8.7971477978669582E-2</v>
      </c>
      <c r="P7" s="109">
        <f t="shared" ref="P7:S7" si="1">P4/(P4+P5)</f>
        <v>8.1558538443450984E-2</v>
      </c>
      <c r="Q7" s="109">
        <f t="shared" si="1"/>
        <v>7.583159198749459E-2</v>
      </c>
      <c r="R7" s="109">
        <f t="shared" si="1"/>
        <v>7.0689208068613937E-2</v>
      </c>
      <c r="S7" s="109">
        <f t="shared" si="1"/>
        <v>6.604899193724334E-2</v>
      </c>
    </row>
    <row r="8" spans="2:19" x14ac:dyDescent="0.3">
      <c r="B8" s="76" t="s">
        <v>131</v>
      </c>
      <c r="C8" s="74">
        <f>C5/(C4+C5)</f>
        <v>0.99297942854901655</v>
      </c>
      <c r="D8" s="74">
        <f t="shared" ref="D8:N8" si="2">D5/(D4+D5)</f>
        <v>0.9965646339582428</v>
      </c>
      <c r="E8" s="74">
        <f t="shared" si="2"/>
        <v>0.99665907540778931</v>
      </c>
      <c r="F8" s="74">
        <f t="shared" si="2"/>
        <v>0.99710688140556369</v>
      </c>
      <c r="G8" s="74">
        <f t="shared" si="2"/>
        <v>0.99930732448496229</v>
      </c>
      <c r="H8" s="74">
        <f t="shared" si="2"/>
        <v>0.91144095341278442</v>
      </c>
      <c r="I8" s="74">
        <f t="shared" si="2"/>
        <v>0.91727511992189159</v>
      </c>
      <c r="J8" s="74">
        <f t="shared" si="2"/>
        <v>0.91936631702713578</v>
      </c>
      <c r="K8" s="74">
        <f t="shared" si="2"/>
        <v>0.92164057403783428</v>
      </c>
      <c r="L8" s="74">
        <f t="shared" si="2"/>
        <v>0.91857679423408789</v>
      </c>
      <c r="M8" s="74">
        <f t="shared" si="2"/>
        <v>0.90982063985866268</v>
      </c>
      <c r="N8" s="74">
        <f t="shared" si="2"/>
        <v>0.90480328712570557</v>
      </c>
      <c r="O8" s="109">
        <f>O5/(O5+O4)</f>
        <v>0.91202852202133045</v>
      </c>
      <c r="P8" s="109">
        <f t="shared" ref="P8:S8" si="3">P5/(P5+P4)</f>
        <v>0.91844146155654904</v>
      </c>
      <c r="Q8" s="109">
        <f t="shared" si="3"/>
        <v>0.92416840801250544</v>
      </c>
      <c r="R8" s="109">
        <f t="shared" si="3"/>
        <v>0.9293107919313861</v>
      </c>
      <c r="S8" s="109">
        <f t="shared" si="3"/>
        <v>0.93395100806275666</v>
      </c>
    </row>
    <row r="9" spans="2:19" x14ac:dyDescent="0.3">
      <c r="B9" s="76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109"/>
      <c r="P9" s="109"/>
      <c r="Q9" s="109"/>
      <c r="R9" s="109"/>
      <c r="S9" s="109"/>
    </row>
    <row r="10" spans="2:19" x14ac:dyDescent="0.3">
      <c r="B10" s="76" t="s">
        <v>132</v>
      </c>
      <c r="C10" s="76">
        <v>10.050000000000001</v>
      </c>
      <c r="D10" s="74">
        <v>9.15</v>
      </c>
      <c r="E10" s="78">
        <v>9.0399999999999991</v>
      </c>
      <c r="F10" s="78">
        <v>9.8000000000000007</v>
      </c>
      <c r="G10" s="78">
        <v>10.5</v>
      </c>
      <c r="H10" s="78">
        <v>10.38</v>
      </c>
      <c r="I10" s="78">
        <v>12.17</v>
      </c>
      <c r="J10" s="74">
        <v>12.86</v>
      </c>
      <c r="K10" s="74">
        <v>13.15</v>
      </c>
      <c r="L10" s="74">
        <v>13.75</v>
      </c>
      <c r="M10" s="74">
        <v>14.39</v>
      </c>
      <c r="N10" s="74">
        <v>15.11</v>
      </c>
      <c r="O10" s="110">
        <v>15.11</v>
      </c>
      <c r="P10" s="110">
        <v>15.11</v>
      </c>
      <c r="Q10" s="110">
        <v>15.11</v>
      </c>
      <c r="R10" s="110">
        <v>15.11</v>
      </c>
      <c r="S10" s="110">
        <v>15.11</v>
      </c>
    </row>
    <row r="11" spans="2:19" x14ac:dyDescent="0.3">
      <c r="B11" s="76" t="s">
        <v>133</v>
      </c>
      <c r="C11" s="74" t="s">
        <v>135</v>
      </c>
      <c r="D11" s="74" t="s">
        <v>135</v>
      </c>
      <c r="E11" s="74" t="s">
        <v>135</v>
      </c>
      <c r="F11" s="74" t="s">
        <v>135</v>
      </c>
      <c r="G11" s="74" t="s">
        <v>135</v>
      </c>
      <c r="H11" s="74" t="s">
        <v>135</v>
      </c>
      <c r="I11" s="74" t="s">
        <v>135</v>
      </c>
      <c r="J11" s="74" t="s">
        <v>135</v>
      </c>
      <c r="K11" s="74" t="s">
        <v>135</v>
      </c>
      <c r="L11" s="74" t="s">
        <v>135</v>
      </c>
      <c r="M11" s="74" t="s">
        <v>135</v>
      </c>
      <c r="N11" s="74" t="s">
        <v>135</v>
      </c>
      <c r="O11" s="110" t="s">
        <v>135</v>
      </c>
      <c r="P11" s="110" t="s">
        <v>135</v>
      </c>
      <c r="Q11" s="110" t="s">
        <v>135</v>
      </c>
      <c r="R11" s="110" t="s">
        <v>135</v>
      </c>
      <c r="S11" s="110" t="s">
        <v>135</v>
      </c>
    </row>
    <row r="12" spans="2:19" x14ac:dyDescent="0.3">
      <c r="B12" s="76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109"/>
      <c r="P12" s="109"/>
      <c r="Q12" s="109"/>
      <c r="R12" s="109"/>
      <c r="S12" s="109"/>
    </row>
    <row r="13" spans="2:19" ht="16.8" thickBot="1" x14ac:dyDescent="0.4">
      <c r="B13" s="77" t="s">
        <v>134</v>
      </c>
      <c r="C13" s="81">
        <f>C8*C10</f>
        <v>9.9794432569176177</v>
      </c>
      <c r="D13" s="81">
        <f t="shared" ref="D13:S13" si="4">D8*D10</f>
        <v>9.1185664007179223</v>
      </c>
      <c r="E13" s="81">
        <f t="shared" si="4"/>
        <v>9.0097980416864143</v>
      </c>
      <c r="F13" s="81">
        <f t="shared" si="4"/>
        <v>9.7716474377745257</v>
      </c>
      <c r="G13" s="81">
        <f t="shared" si="4"/>
        <v>10.492726907092104</v>
      </c>
      <c r="H13" s="81">
        <f t="shared" si="4"/>
        <v>9.4607570964247021</v>
      </c>
      <c r="I13" s="81">
        <f t="shared" si="4"/>
        <v>11.163238209449421</v>
      </c>
      <c r="J13" s="81">
        <f t="shared" si="4"/>
        <v>11.823050836968966</v>
      </c>
      <c r="K13" s="81">
        <f t="shared" si="4"/>
        <v>12.119573548597522</v>
      </c>
      <c r="L13" s="81">
        <f t="shared" si="4"/>
        <v>12.630430920718709</v>
      </c>
      <c r="M13" s="81">
        <f t="shared" si="4"/>
        <v>13.092319007566157</v>
      </c>
      <c r="N13" s="81">
        <f t="shared" si="4"/>
        <v>13.671577668469411</v>
      </c>
      <c r="O13" s="111">
        <f t="shared" si="4"/>
        <v>13.780750967742302</v>
      </c>
      <c r="P13" s="111">
        <f t="shared" si="4"/>
        <v>13.877650484119455</v>
      </c>
      <c r="Q13" s="111">
        <f t="shared" si="4"/>
        <v>13.964184645068956</v>
      </c>
      <c r="R13" s="111">
        <f t="shared" si="4"/>
        <v>14.041886066083244</v>
      </c>
      <c r="S13" s="111">
        <f t="shared" si="4"/>
        <v>14.111999731828252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C07C-D41E-41FC-8B40-2F0DA055185B}">
  <dimension ref="B1:L28"/>
  <sheetViews>
    <sheetView showGridLines="0" zoomScaleNormal="100" workbookViewId="0"/>
  </sheetViews>
  <sheetFormatPr defaultRowHeight="14.4" x14ac:dyDescent="0.3"/>
  <cols>
    <col min="1" max="1" width="3.88671875" style="112" customWidth="1"/>
    <col min="2" max="2" width="24.33203125" style="117" bestFit="1" customWidth="1"/>
    <col min="3" max="3" width="12.6640625" style="112" bestFit="1" customWidth="1"/>
    <col min="4" max="5" width="11.5546875" style="112" bestFit="1" customWidth="1"/>
    <col min="6" max="7" width="13.109375" style="112" bestFit="1" customWidth="1"/>
    <col min="8" max="9" width="8.88671875" style="112"/>
    <col min="11" max="16384" width="8.88671875" style="112"/>
  </cols>
  <sheetData>
    <row r="1" spans="2:12" ht="18" x14ac:dyDescent="0.35">
      <c r="B1" s="116" t="s">
        <v>164</v>
      </c>
    </row>
    <row r="2" spans="2:12" ht="18" x14ac:dyDescent="0.35">
      <c r="B2" s="116"/>
    </row>
    <row r="3" spans="2:12" x14ac:dyDescent="0.3">
      <c r="B3" s="143" t="s">
        <v>151</v>
      </c>
      <c r="C3" s="132">
        <v>0.04</v>
      </c>
    </row>
    <row r="4" spans="2:12" x14ac:dyDescent="0.3">
      <c r="B4" s="143" t="s">
        <v>161</v>
      </c>
      <c r="C4" s="141">
        <v>361.80875179999998</v>
      </c>
      <c r="D4" s="112" t="s">
        <v>162</v>
      </c>
    </row>
    <row r="6" spans="2:12" ht="16.2" x14ac:dyDescent="0.35">
      <c r="B6" s="144" t="s">
        <v>149</v>
      </c>
      <c r="C6" s="126">
        <v>1</v>
      </c>
      <c r="D6" s="126">
        <v>2</v>
      </c>
      <c r="E6" s="126">
        <v>3</v>
      </c>
      <c r="F6" s="126">
        <v>4</v>
      </c>
      <c r="G6" s="126">
        <v>5</v>
      </c>
      <c r="H6" s="126"/>
      <c r="I6" s="126"/>
      <c r="K6" s="126"/>
      <c r="L6" s="127"/>
    </row>
    <row r="7" spans="2:12" ht="16.8" thickBot="1" x14ac:dyDescent="0.35">
      <c r="B7" s="118"/>
      <c r="C7" s="27">
        <v>46447</v>
      </c>
      <c r="D7" s="27">
        <v>46813</v>
      </c>
      <c r="E7" s="27">
        <v>47178</v>
      </c>
      <c r="F7" s="27">
        <v>47543</v>
      </c>
      <c r="G7" s="27">
        <v>47908</v>
      </c>
    </row>
    <row r="8" spans="2:12" ht="15.6" x14ac:dyDescent="0.3">
      <c r="B8" s="119" t="s">
        <v>19</v>
      </c>
      <c r="C8" s="112">
        <f>'P&amp;L'!T4</f>
        <v>281135.54915355821</v>
      </c>
      <c r="D8" s="112">
        <f>'P&amp;L'!U4</f>
        <v>295996.18381278159</v>
      </c>
      <c r="E8" s="112">
        <f>'P&amp;L'!V4</f>
        <v>311642.34155202744</v>
      </c>
      <c r="F8" s="112">
        <f>'P&amp;L'!W4</f>
        <v>328115.54458911467</v>
      </c>
      <c r="G8" s="112">
        <f>'P&amp;L'!X4</f>
        <v>345459.50997816492</v>
      </c>
    </row>
    <row r="9" spans="2:12" x14ac:dyDescent="0.3">
      <c r="B9" s="117" t="s">
        <v>141</v>
      </c>
      <c r="C9" s="112">
        <f>'P&amp;L'!T6</f>
        <v>76829.783727338494</v>
      </c>
      <c r="D9" s="112">
        <f>'P&amp;L'!U6</f>
        <v>81532.855432326964</v>
      </c>
      <c r="E9" s="112">
        <f>'P&amp;L'!V6</f>
        <v>86523.821784276312</v>
      </c>
      <c r="F9" s="112">
        <f>'P&amp;L'!W6</f>
        <v>91820.306016032613</v>
      </c>
      <c r="G9" s="112">
        <f>'P&amp;L'!X6</f>
        <v>97441.010152073592</v>
      </c>
    </row>
    <row r="10" spans="2:12" x14ac:dyDescent="0.3">
      <c r="B10" s="117" t="s">
        <v>142</v>
      </c>
      <c r="C10" s="112">
        <f>C9*0.76</f>
        <v>58390.635632777259</v>
      </c>
      <c r="D10" s="112">
        <f t="shared" ref="D10:G10" si="0">D9*0.76</f>
        <v>61964.970128568493</v>
      </c>
      <c r="E10" s="112">
        <f t="shared" si="0"/>
        <v>65758.104556049992</v>
      </c>
      <c r="F10" s="112">
        <f t="shared" si="0"/>
        <v>69783.432572184785</v>
      </c>
      <c r="G10" s="112">
        <f t="shared" si="0"/>
        <v>74055.167715575924</v>
      </c>
    </row>
    <row r="11" spans="2:12" x14ac:dyDescent="0.3">
      <c r="B11" s="117" t="s">
        <v>4</v>
      </c>
      <c r="C11" s="112">
        <f>'P&amp;L'!T10</f>
        <v>5871.9675210293226</v>
      </c>
      <c r="D11" s="112">
        <f>'P&amp;L'!U10</f>
        <v>6201.4393107955484</v>
      </c>
      <c r="E11" s="112">
        <f>'P&amp;L'!V10</f>
        <v>6549.3975209758855</v>
      </c>
      <c r="F11" s="112">
        <f>'P&amp;L'!W10</f>
        <v>6916.8794110576191</v>
      </c>
      <c r="G11" s="112">
        <f>'P&amp;L'!X10</f>
        <v>7304.9804403969001</v>
      </c>
    </row>
    <row r="12" spans="2:12" x14ac:dyDescent="0.3">
      <c r="B12" s="117" t="s">
        <v>143</v>
      </c>
      <c r="C12" s="112">
        <f>-'Cash Flow '!T12</f>
        <v>5235.1795100620875</v>
      </c>
      <c r="D12" s="112">
        <f>-'Cash Flow '!U12</f>
        <v>6610.4931265253053</v>
      </c>
      <c r="E12" s="112">
        <f>-'Cash Flow '!V12</f>
        <v>8347.1100259024461</v>
      </c>
      <c r="F12" s="112">
        <f>-'Cash Flow '!W12</f>
        <v>10539.946786261047</v>
      </c>
      <c r="G12" s="112">
        <f>-'Cash Flow '!X12</f>
        <v>13308.85515016367</v>
      </c>
    </row>
    <row r="13" spans="2:12" x14ac:dyDescent="0.3">
      <c r="B13" s="117" t="s">
        <v>148</v>
      </c>
      <c r="C13" s="112">
        <f>'Working Capital '!O18-'Working Capital '!N18</f>
        <v>5868.1802384517432</v>
      </c>
      <c r="D13" s="112">
        <f>'Working Capital '!P18-'Working Capital '!O18</f>
        <v>2800.8657381159064</v>
      </c>
      <c r="E13" s="112">
        <f>'Working Capital '!Q18-'Working Capital '!P18</f>
        <v>2951.0001788974987</v>
      </c>
      <c r="F13" s="112">
        <f>'Working Capital '!R18-'Working Capital '!Q18</f>
        <v>3109.1745311862469</v>
      </c>
      <c r="G13" s="112">
        <f>'Working Capital '!S18-'Working Capital '!R18</f>
        <v>3275.8189635107992</v>
      </c>
    </row>
    <row r="14" spans="2:12" ht="15" thickBot="1" x14ac:dyDescent="0.35">
      <c r="B14" s="125" t="s">
        <v>146</v>
      </c>
      <c r="C14" s="128">
        <f>C10+C11-C12-C13</f>
        <v>53159.243405292749</v>
      </c>
      <c r="D14" s="128">
        <f t="shared" ref="D14:G14" si="1">D10+D11-D12-D13</f>
        <v>58755.050574722831</v>
      </c>
      <c r="E14" s="128">
        <f t="shared" si="1"/>
        <v>61009.391872225926</v>
      </c>
      <c r="F14" s="128">
        <f t="shared" si="1"/>
        <v>63051.190665795104</v>
      </c>
      <c r="G14" s="128">
        <f t="shared" si="1"/>
        <v>64775.47404229836</v>
      </c>
    </row>
    <row r="15" spans="2:12" x14ac:dyDescent="0.3">
      <c r="B15" s="130" t="s">
        <v>134</v>
      </c>
      <c r="C15" s="131">
        <f>WACC!O13/100</f>
        <v>0.13780750967742303</v>
      </c>
      <c r="D15" s="131">
        <f>WACC!P13/100</f>
        <v>0.13877650484119455</v>
      </c>
      <c r="E15" s="131">
        <f>WACC!Q13/100</f>
        <v>0.13964184645068956</v>
      </c>
      <c r="F15" s="131">
        <f>WACC!R13/100</f>
        <v>0.14041886066083242</v>
      </c>
      <c r="G15" s="131">
        <f>WACC!S13/100</f>
        <v>0.14111999731828251</v>
      </c>
    </row>
    <row r="16" spans="2:12" x14ac:dyDescent="0.3">
      <c r="B16" s="117" t="s">
        <v>150</v>
      </c>
      <c r="G16" s="129">
        <f>(G14*(1+C3))/(G15-C3)</f>
        <v>666203.46905221324</v>
      </c>
    </row>
    <row r="17" spans="2:7" ht="15" thickBot="1" x14ac:dyDescent="0.35">
      <c r="B17" s="125" t="s">
        <v>152</v>
      </c>
      <c r="C17" s="128">
        <f>C14/(1+C15)^C6</f>
        <v>46720.770387922472</v>
      </c>
      <c r="D17" s="128">
        <f>D14/(1+D15)^D6</f>
        <v>45307.302706815288</v>
      </c>
      <c r="E17" s="128">
        <f>E14/(1+E15)^E6</f>
        <v>41218.438293814208</v>
      </c>
      <c r="F17" s="128">
        <f>F14/(1+F15)^F6</f>
        <v>37276.551411356442</v>
      </c>
      <c r="G17" s="128">
        <f>G14/(1+G15)^G6</f>
        <v>33477.577125963398</v>
      </c>
    </row>
    <row r="18" spans="2:7" x14ac:dyDescent="0.3">
      <c r="B18" s="117" t="s">
        <v>153</v>
      </c>
      <c r="G18" s="129">
        <f>G16/(1+G15)^G6</f>
        <v>344310.53336971445</v>
      </c>
    </row>
    <row r="21" spans="2:7" ht="16.2" x14ac:dyDescent="0.35">
      <c r="B21" s="133" t="s">
        <v>154</v>
      </c>
      <c r="C21" s="133"/>
      <c r="D21" s="133"/>
      <c r="E21" s="133"/>
      <c r="F21" s="133"/>
    </row>
    <row r="22" spans="2:7" ht="16.2" x14ac:dyDescent="0.35">
      <c r="B22" s="145" t="s">
        <v>155</v>
      </c>
      <c r="C22" s="134"/>
      <c r="D22" s="134"/>
      <c r="E22" s="135"/>
      <c r="F22" s="142">
        <f>SUM(C17:G17)</f>
        <v>204000.6399258718</v>
      </c>
    </row>
    <row r="23" spans="2:7" ht="16.2" x14ac:dyDescent="0.35">
      <c r="B23" s="145" t="s">
        <v>156</v>
      </c>
      <c r="C23" s="134"/>
      <c r="D23" s="134"/>
      <c r="E23" s="135"/>
      <c r="F23" s="142">
        <f>G18</f>
        <v>344310.53336971445</v>
      </c>
    </row>
    <row r="24" spans="2:7" ht="16.2" x14ac:dyDescent="0.35">
      <c r="B24" s="146" t="s">
        <v>157</v>
      </c>
      <c r="C24" s="136"/>
      <c r="D24" s="136"/>
      <c r="E24" s="137"/>
      <c r="F24" s="137">
        <f>SUM(F22:F23)</f>
        <v>548311.17329558625</v>
      </c>
    </row>
    <row r="25" spans="2:7" ht="16.2" x14ac:dyDescent="0.35">
      <c r="B25" s="147" t="s">
        <v>159</v>
      </c>
      <c r="C25" s="139"/>
      <c r="D25" s="139"/>
      <c r="E25" s="140"/>
      <c r="F25" s="140">
        <f>'Balance Sheet Detail'!N7+'Balance Sheet Detail'!N8+'Balance Sheet Detail'!N9+'Balance Sheet Detail'!N10</f>
        <v>11283</v>
      </c>
    </row>
    <row r="26" spans="2:7" ht="16.2" x14ac:dyDescent="0.35">
      <c r="B26" s="147" t="s">
        <v>160</v>
      </c>
      <c r="C26" s="139"/>
      <c r="D26" s="139"/>
      <c r="E26" s="140"/>
      <c r="F26" s="140">
        <f>'Balance Sheet Detail'!N30+'Balance Sheet Detail'!N37</f>
        <v>46896</v>
      </c>
    </row>
    <row r="27" spans="2:7" ht="16.2" x14ac:dyDescent="0.35">
      <c r="B27" s="146" t="s">
        <v>158</v>
      </c>
      <c r="C27" s="136"/>
      <c r="D27" s="136"/>
      <c r="E27" s="137"/>
      <c r="F27" s="137">
        <f>F24+F26-F25</f>
        <v>583924.17329558625</v>
      </c>
    </row>
    <row r="28" spans="2:7" ht="16.2" x14ac:dyDescent="0.35">
      <c r="B28" s="148" t="s">
        <v>163</v>
      </c>
      <c r="C28" s="138"/>
      <c r="D28" s="138"/>
      <c r="E28" s="138"/>
      <c r="F28" s="138">
        <f>F27/C4</f>
        <v>1613.9028433960239</v>
      </c>
    </row>
  </sheetData>
  <mergeCells count="1">
    <mergeCell ref="B21:F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3023-322A-401D-8C32-40EF1D8FF985}">
  <dimension ref="B2:D16"/>
  <sheetViews>
    <sheetView showGridLines="0" workbookViewId="0"/>
  </sheetViews>
  <sheetFormatPr defaultRowHeight="15.6" x14ac:dyDescent="0.3"/>
  <cols>
    <col min="1" max="1" width="4.44140625" style="1" customWidth="1"/>
    <col min="2" max="2" width="41.109375" style="1" customWidth="1"/>
    <col min="3" max="3" width="14.21875" style="78" bestFit="1" customWidth="1"/>
    <col min="4" max="4" width="29.77734375" style="78" bestFit="1" customWidth="1"/>
    <col min="5" max="16384" width="8.88671875" style="1"/>
  </cols>
  <sheetData>
    <row r="2" spans="2:4" ht="18" x14ac:dyDescent="0.35">
      <c r="B2" s="157" t="s">
        <v>165</v>
      </c>
      <c r="C2" s="152"/>
      <c r="D2" s="152"/>
    </row>
    <row r="3" spans="2:4" ht="16.2" x14ac:dyDescent="0.35">
      <c r="B3" s="151" t="s">
        <v>168</v>
      </c>
      <c r="C3" s="153" t="s">
        <v>167</v>
      </c>
      <c r="D3" s="153" t="s">
        <v>169</v>
      </c>
    </row>
    <row r="4" spans="2:4" x14ac:dyDescent="0.3">
      <c r="B4" s="1" t="s">
        <v>166</v>
      </c>
      <c r="C4" s="78">
        <v>7.98</v>
      </c>
      <c r="D4" s="78">
        <v>2.02</v>
      </c>
    </row>
    <row r="5" spans="2:4" x14ac:dyDescent="0.3">
      <c r="B5" s="1" t="s">
        <v>171</v>
      </c>
      <c r="C5" s="78">
        <v>11.51</v>
      </c>
      <c r="D5" s="78">
        <v>2.42</v>
      </c>
    </row>
    <row r="6" spans="2:4" x14ac:dyDescent="0.3">
      <c r="B6" s="1" t="s">
        <v>170</v>
      </c>
      <c r="C6" s="78">
        <v>6.81</v>
      </c>
      <c r="D6" s="78">
        <v>1.52</v>
      </c>
    </row>
    <row r="8" spans="2:4" s="149" customFormat="1" ht="16.2" x14ac:dyDescent="0.35">
      <c r="B8" s="151" t="s">
        <v>172</v>
      </c>
      <c r="C8" s="154">
        <f>AVERAGE(C4:C6)</f>
        <v>8.7666666666666675</v>
      </c>
      <c r="D8" s="154">
        <f>AVERAGE(D4:D6)</f>
        <v>1.9866666666666664</v>
      </c>
    </row>
    <row r="12" spans="2:4" ht="16.2" x14ac:dyDescent="0.35">
      <c r="B12" s="151" t="s">
        <v>173</v>
      </c>
      <c r="C12" s="155">
        <f>'P&amp;L Detail'!N11+'P&amp;L Detail'!N17</f>
        <v>77958</v>
      </c>
    </row>
    <row r="13" spans="2:4" ht="16.2" x14ac:dyDescent="0.35">
      <c r="B13" s="151" t="s">
        <v>174</v>
      </c>
      <c r="C13" s="156">
        <f>C12*C8</f>
        <v>683431.8</v>
      </c>
    </row>
    <row r="14" spans="2:4" ht="16.2" x14ac:dyDescent="0.35">
      <c r="B14" s="149"/>
      <c r="C14" s="152"/>
    </row>
    <row r="15" spans="2:4" ht="16.2" x14ac:dyDescent="0.35">
      <c r="B15" s="151" t="s">
        <v>175</v>
      </c>
      <c r="C15" s="155">
        <f>'P&amp;L Detail'!N4</f>
        <v>267021</v>
      </c>
    </row>
    <row r="16" spans="2:4" ht="16.2" x14ac:dyDescent="0.35">
      <c r="B16" s="151" t="s">
        <v>174</v>
      </c>
      <c r="C16" s="156">
        <f>C15*D8</f>
        <v>530481.72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E855-9E0F-4B06-BC61-3AC80F997806}">
  <dimension ref="B2:E7"/>
  <sheetViews>
    <sheetView showGridLines="0" workbookViewId="0"/>
  </sheetViews>
  <sheetFormatPr defaultRowHeight="15.6" x14ac:dyDescent="0.3"/>
  <cols>
    <col min="1" max="1" width="3.33203125" style="1" customWidth="1"/>
    <col min="2" max="2" width="34.109375" style="1" bestFit="1" customWidth="1"/>
    <col min="3" max="5" width="14.21875" style="1" bestFit="1" customWidth="1"/>
    <col min="6" max="16384" width="8.88671875" style="1"/>
  </cols>
  <sheetData>
    <row r="2" spans="2:5" ht="18" x14ac:dyDescent="0.35">
      <c r="B2" s="159" t="s">
        <v>176</v>
      </c>
    </row>
    <row r="3" spans="2:5" ht="16.2" x14ac:dyDescent="0.35">
      <c r="B3" s="146" t="s">
        <v>157</v>
      </c>
    </row>
    <row r="4" spans="2:5" ht="16.2" x14ac:dyDescent="0.35">
      <c r="B4" s="151" t="s">
        <v>177</v>
      </c>
      <c r="C4" s="160">
        <v>0.04</v>
      </c>
      <c r="D4" s="160">
        <v>0.05</v>
      </c>
      <c r="E4" s="160">
        <v>0.06</v>
      </c>
    </row>
    <row r="5" spans="2:5" ht="16.2" x14ac:dyDescent="0.35">
      <c r="B5" s="161">
        <v>0.14111999731828251</v>
      </c>
      <c r="C5" s="162">
        <v>548311.17329558625</v>
      </c>
      <c r="D5" s="150">
        <v>589771.67830153601</v>
      </c>
      <c r="E5" s="150">
        <v>641454.20164490631</v>
      </c>
    </row>
    <row r="6" spans="2:5" x14ac:dyDescent="0.3">
      <c r="B6" s="158"/>
    </row>
    <row r="7" spans="2:5" x14ac:dyDescent="0.3">
      <c r="B7" s="15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02D0-2154-4055-B539-2D374EBC7EC2}">
  <dimension ref="B2:C7"/>
  <sheetViews>
    <sheetView showGridLines="0" workbookViewId="0"/>
  </sheetViews>
  <sheetFormatPr defaultRowHeight="15.6" x14ac:dyDescent="0.3"/>
  <cols>
    <col min="1" max="1" width="3.5546875" style="1" customWidth="1"/>
    <col min="2" max="2" width="35.21875" style="1" bestFit="1" customWidth="1"/>
    <col min="3" max="3" width="13.33203125" style="1" bestFit="1" customWidth="1"/>
    <col min="4" max="16384" width="8.88671875" style="1"/>
  </cols>
  <sheetData>
    <row r="2" spans="2:3" ht="18" x14ac:dyDescent="0.35">
      <c r="B2" s="166" t="s">
        <v>185</v>
      </c>
    </row>
    <row r="4" spans="2:3" ht="16.2" x14ac:dyDescent="0.35">
      <c r="B4" s="151" t="s">
        <v>178</v>
      </c>
      <c r="C4" s="163">
        <v>2080.5</v>
      </c>
    </row>
    <row r="5" spans="2:3" ht="16.2" x14ac:dyDescent="0.35">
      <c r="B5" s="151" t="s">
        <v>179</v>
      </c>
      <c r="C5" s="82">
        <f>'DCF '!F28</f>
        <v>1613.9028433960239</v>
      </c>
    </row>
    <row r="7" spans="2:3" x14ac:dyDescent="0.3">
      <c r="B7" s="1" t="s">
        <v>180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F3A5-3439-4A4E-85BC-9415F9953963}">
  <dimension ref="B2:B6"/>
  <sheetViews>
    <sheetView showGridLines="0" workbookViewId="0"/>
  </sheetViews>
  <sheetFormatPr defaultRowHeight="15.6" x14ac:dyDescent="0.3"/>
  <cols>
    <col min="1" max="1" width="4.109375" style="1" customWidth="1"/>
    <col min="2" max="2" width="20.21875" style="1" bestFit="1" customWidth="1"/>
    <col min="3" max="16384" width="8.88671875" style="1"/>
  </cols>
  <sheetData>
    <row r="2" spans="2:2" ht="18" x14ac:dyDescent="0.35">
      <c r="B2" s="164" t="s">
        <v>184</v>
      </c>
    </row>
    <row r="4" spans="2:2" ht="16.2" x14ac:dyDescent="0.35">
      <c r="B4" s="149" t="s">
        <v>181</v>
      </c>
    </row>
    <row r="5" spans="2:2" ht="16.2" x14ac:dyDescent="0.35">
      <c r="B5" s="149" t="s">
        <v>182</v>
      </c>
    </row>
    <row r="6" spans="2:2" ht="16.2" x14ac:dyDescent="0.35">
      <c r="B6" s="14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TCS</vt:lpstr>
      <vt:lpstr>P&amp;L</vt:lpstr>
      <vt:lpstr>P&amp;L Detail</vt:lpstr>
      <vt:lpstr>Balance sheet</vt:lpstr>
      <vt:lpstr>Balance Sheet Detail</vt:lpstr>
      <vt:lpstr>Cash Flow </vt:lpstr>
      <vt:lpstr>Cash Flow Detail</vt:lpstr>
      <vt:lpstr>Working Capital </vt:lpstr>
      <vt:lpstr>Capital Structure</vt:lpstr>
      <vt:lpstr>WACC</vt:lpstr>
      <vt:lpstr>DCF </vt:lpstr>
      <vt:lpstr>Comparable Company valuation</vt:lpstr>
      <vt:lpstr>Sensitivity Analysis</vt:lpstr>
      <vt:lpstr>Compare with market price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V</dc:creator>
  <cp:lastModifiedBy>Umesh V</cp:lastModifiedBy>
  <dcterms:created xsi:type="dcterms:W3CDTF">2026-09-24T14:59:25Z</dcterms:created>
  <dcterms:modified xsi:type="dcterms:W3CDTF">2026-09-27T14:54:58Z</dcterms:modified>
</cp:coreProperties>
</file>